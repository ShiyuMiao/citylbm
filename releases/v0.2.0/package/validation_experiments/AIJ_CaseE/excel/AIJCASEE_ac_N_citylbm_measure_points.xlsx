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1892a8324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6d1b0b8c674482"/>
    <x:sheet xmlns:r="http://schemas.openxmlformats.org/officeDocument/2006/relationships" name="Measurement Points" sheetId="2" r:id="R0e5acc619f4d4065"/>
    <x:sheet xmlns:r="http://schemas.openxmlformats.org/officeDocument/2006/relationships" name="Assumptions" sheetId="3" r:id="Rf986af3f18c9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E75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0" fillId="3" borderId="2" xfId="0" applyNumberFormat="1" applyFont="1" applyFill="1" applyBorder="1"/>
    <x:xf numFmtId="0" fontId="2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c8601940b4a82" /><Relationship Type="http://schemas.openxmlformats.org/officeDocument/2006/relationships/theme" Target="/xl/theme/theme1.xml" Id="R5806fb9ae3f7462f" /><Relationship Type="http://schemas.openxmlformats.org/officeDocument/2006/relationships/sharedStrings" Target="/xl/sharedStrings.xml" Id="R54861114e529443a" /><Relationship Type="http://schemas.openxmlformats.org/officeDocument/2006/relationships/worksheet" Target="/xl/worksheets/sheet1.xml" Id="R956d1b0b8c674482" /><Relationship Type="http://schemas.openxmlformats.org/officeDocument/2006/relationships/worksheet" Target="/xl/worksheets/sheet2.xml" Id="R0e5acc619f4d4065" /><Relationship Type="http://schemas.openxmlformats.org/officeDocument/2006/relationships/worksheet" Target="/xl/worksheets/sheet3.xml" Id="Rf986af3f18c947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2.130000114440918" hidden="0" customWidth="1"/>
    <x:col min="3" max="3" width="13.5" hidden="0" customWidth="1"/>
    <x:col min="4" max="4" width="52" hidden="0" customWidth="1"/>
  </x:cols>
  <x:sheetData>
    <x:row r="1">
      <x:c r="A1" s="2" t="str">
        <x:v>AIJ Case E ac+N CityLBM Validation Summary</x:v>
      </x:c>
      <x:c r="B1" s="2" t="str"/>
      <x:c r="C1" s="2" t="str"/>
      <x:c r="D1" s="2" t="str"/>
      <x:c r="E1" s="2" t="str"/>
      <x:c r="F1" s="2" t="str"/>
    </x:row>
    <x:row r="3">
      <x:c r="A3" s="18" t="str">
        <x:v>Metric</x:v>
      </x:c>
      <x:c r="B3" s="18" t="str">
        <x:v>Value</x:v>
      </x:c>
      <x:c r="C3" s="18" t="str">
        <x:v>Unit/Format</x:v>
      </x:c>
      <x:c r="D3" s="18" t="str">
        <x:v>Formula / source</x:v>
      </x:c>
    </x:row>
    <x:row r="4">
      <x:c r="A4" s="20" t="str">
        <x:v>Measurement points</x:v>
      </x:c>
      <x:c r="B4" s="13" t="n">
        <x:f>COUNTA('Measurement Points'!A2:A81)</x:f>
        <x:v>80</x:v>
      </x:c>
      <x:c r="C4" s="13" t="str">
        <x:v>count</x:v>
      </x:c>
      <x:c r="D4" s="17" t="str">
        <x:v>Formula: =COUNTA('Measurement Points'!A2:A81)</x:v>
      </x:c>
    </x:row>
    <x:row r="5">
      <x:c r="A5" s="20" t="str">
        <x:v>Uref at 15.9m</x:v>
      </x:c>
      <x:c r="B5" s="14" t="n">
        <x:v>3.928296</x:v>
      </x:c>
      <x:c r="C5" s="13" t="str">
        <x:v>m/s</x:v>
      </x:c>
      <x:c r="D5" s="17" t="str">
        <x:v>AF_caseE.csv linear interpolation</x:v>
      </x:c>
    </x:row>
    <x:row r="6">
      <x:c r="A6" s="20" t="str">
        <x:v>LBM to m/s scale</x:v>
      </x:c>
      <x:c r="B6" s="14" t="n">
        <x:v>39.282959999999996</x:v>
      </x:c>
      <x:c r="C6" s="13" t="str">
        <x:v>m/s per LBM unit</x:v>
      </x:c>
      <x:c r="D6" s="17" t="str">
        <x:v>Uref_physical / 0.1</x:v>
      </x:c>
    </x:row>
    <x:row r="7">
      <x:c r="A7" s="20" t="str">
        <x:v>MAE</x:v>
      </x:c>
      <x:c r="B7" s="14" t="n">
        <x:f>AVERAGE('Measurement Points'!T2:T81)</x:f>
        <x:v>0.771525097362584</x:v>
      </x:c>
      <x:c r="C7" s="13" t="str">
        <x:v>m/s</x:v>
      </x:c>
      <x:c r="D7" s="17" t="str">
        <x:v>Formula: =AVERAGE('Measurement Points'!T2:T81)</x:v>
      </x:c>
    </x:row>
    <x:row r="8">
      <x:c r="A8" s="20" t="str">
        <x:v>RMSE</x:v>
      </x:c>
      <x:c r="B8" s="14" t="n">
        <x:f>SQRT(SUMSQ('Measurement Points'!S2:S81)/B4)</x:f>
        <x:v>0.9513420908231861</x:v>
      </x:c>
      <x:c r="C8" s="13" t="str">
        <x:v>m/s</x:v>
      </x:c>
      <x:c r="D8" s="17" t="str">
        <x:v>Formula: =SQRT(SUMSQ('Measurement Points'!S2:S81)/B4)</x:v>
      </x:c>
    </x:row>
    <x:row r="9">
      <x:c r="A9" s="20" t="str">
        <x:v>MAE ratio</x:v>
      </x:c>
      <x:c r="B9" s="14" t="n">
        <x:f>AVERAGE('Measurement Points'!V2:V81)</x:f>
        <x:v>0.19640197616538674</x:v>
      </x:c>
      <x:c r="C9" s="13" t="str">
        <x:v>ratio</x:v>
      </x:c>
      <x:c r="D9" s="17" t="str">
        <x:v>Formula: =AVERAGE('Measurement Points'!V2:V81)</x:v>
      </x:c>
    </x:row>
    <x:row r="10">
      <x:c r="A10" s="20" t="str">
        <x:v>RMSE ratio</x:v>
      </x:c>
      <x:c r="B10" s="14" t="n">
        <x:f>SQRT(SUMSQ('Measurement Points'!U2:U81)/B4)</x:f>
        <x:v>0.24217678373095763</x:v>
      </x:c>
      <x:c r="C10" s="13" t="str">
        <x:v>ratio</x:v>
      </x:c>
      <x:c r="D10" s="17" t="str">
        <x:v>Formula: =SQRT(SUMSQ('Measurement Points'!U2:U81)/B4)</x:v>
      </x:c>
    </x:row>
    <x:row r="11">
      <x:c r="A11" s="20" t="str">
        <x:v>MAPE ratio</x:v>
      </x:c>
      <x:c r="B11" s="16" t="n">
        <x:f>AVERAGE('Measurement Points'!Y2:Y81)</x:f>
        <x:v>0.44535020962951233</x:v>
      </x:c>
      <x:c r="C11" s="13" t="str">
        <x:v>%</x:v>
      </x:c>
      <x:c r="D11" s="17" t="str">
        <x:v>Formula: =AVERAGE('Measurement Points'!Y2:Y81)</x:v>
      </x:c>
    </x:row>
    <x:row r="12">
      <x:c r="A12" s="20" t="str">
        <x:v>Max abs error</x:v>
      </x:c>
      <x:c r="B12" s="14" t="n">
        <x:f>MAX('Measurement Points'!T2:T81)</x:f>
        <x:v>2.31769464</x:v>
      </x:c>
      <x:c r="C12" s="13" t="str">
        <x:v>m/s</x:v>
      </x:c>
      <x:c r="D12" s="17" t="str">
        <x:v>Formula: =MAX('Measurement Points'!T2:T81)</x:v>
      </x:c>
    </x:row>
    <x:row r="13">
      <x:c r="A13" s="20" t="str">
        <x:v>Max abs ratio error</x:v>
      </x:c>
      <x:c r="B13" s="14" t="n">
        <x:f>MAX('Measurement Points'!V2:V81)</x:f>
        <x:v>0.59</x:v>
      </x:c>
      <x:c r="C13" s="13" t="str">
        <x:v>ratio</x:v>
      </x:c>
      <x:c r="D13" s="17" t="str">
        <x:v>Formula: =MAX('Measurement Points'!V2:V81)</x:v>
      </x:c>
    </x:row>
    <x:row r="14">
      <x:c r="A14" s="20" t="str">
        <x:v>Run status</x:v>
      </x:c>
      <x:c r="B14" s="13" t="str">
        <x:v>Smoke run only</x:v>
      </x:c>
      <x:c r="C14" s="13" t="str"/>
      <x:c r="D14" s="17" t="str">
        <x:v>dx=5m, 2000 steps; not final accuracy proof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25" hidden="0" customWidth="1"/>
    <x:col min="2" max="2" width="3.880000114440918" hidden="0" customWidth="1"/>
    <x:col min="3" max="3" width="12.380000114440918" hidden="0" customWidth="1"/>
    <x:col min="4" max="4" width="7.130000114440918" hidden="0" customWidth="1"/>
    <x:col min="5" max="5" width="6.630000114440918" hidden="0" customWidth="1"/>
    <x:col min="6" max="6" width="4.75" hidden="0" customWidth="1"/>
    <x:col min="7" max="7" width="5.880000114440918" hidden="0" customWidth="1"/>
    <x:col min="8" max="8" width="6.630000114440918" hidden="0" customWidth="1"/>
    <x:col min="9" max="9" width="5.75" hidden="0" customWidth="1"/>
    <x:col min="10" max="10" width="7.630000114440918" hidden="0" customWidth="1"/>
    <x:col min="11" max="11" width="7.630000114440918" hidden="0" customWidth="1"/>
    <x:col min="12" max="12" width="8.130000114440918" hidden="0" customWidth="1"/>
    <x:col min="13" max="13" width="13" hidden="0" customWidth="1"/>
    <x:col min="14" max="14" width="15.130000114440918" hidden="0" customWidth="1"/>
    <x:col min="15" max="15" width="15.380000114440918" hidden="0" customWidth="1"/>
    <x:col min="16" max="16" width="18.1299991607666" hidden="0" customWidth="1"/>
    <x:col min="17" max="17" width="9.75" hidden="0" customWidth="1"/>
    <x:col min="18" max="18" width="9.5" hidden="0" customWidth="1"/>
    <x:col min="19" max="19" width="8.5" hidden="0" customWidth="1"/>
    <x:col min="20" max="20" width="12.25" hidden="0" customWidth="1"/>
    <x:col min="21" max="21" width="8.880000114440918" hidden="0" customWidth="1"/>
    <x:col min="22" max="22" width="12.630000114440918" hidden="0" customWidth="1"/>
    <x:col min="23" max="23" width="14.880000114440918" hidden="0" customWidth="1"/>
    <x:col min="24" max="24" width="42" hidden="0" customWidth="1"/>
    <x:col min="25" max="25" width="8" hidden="0" customWidth="1"/>
  </x:cols>
  <x:sheetData>
    <x:row r="1">
      <x:c r="A1" s="12" t="str">
        <x:v>No.</x:v>
      </x:c>
      <x:c r="B1" s="12" t="str">
        <x:v>case</x:v>
      </x:c>
      <x:c r="C1" s="12" t="str">
        <x:v>Wind_direction</x:v>
      </x:c>
      <x:c r="D1" s="12" t="str">
        <x:v>x_m</x:v>
      </x:c>
      <x:c r="E1" s="12" t="str">
        <x:v>y_m</x:v>
      </x:c>
      <x:c r="F1" s="12" t="str">
        <x:v>z_m</x:v>
      </x:c>
      <x:c r="G1" s="12" t="str">
        <x:v>grid_fx</x:v>
      </x:c>
      <x:c r="H1" s="12" t="str">
        <x:v>grid_fy</x:v>
      </x:c>
      <x:c r="I1" s="12" t="str">
        <x:v>grid_fz</x:v>
      </x:c>
      <x:c r="J1" s="12" t="str">
        <x:v>nearest_i</x:v>
      </x:c>
      <x:c r="K1" s="12" t="str">
        <x:v>nearest_j</x:v>
      </x:c>
      <x:c r="L1" s="12" t="str">
        <x:v>nearest_k</x:v>
      </x:c>
      <x:c r="M1" s="12" t="str">
        <x:v>U_sim_raw_lbm</x:v>
      </x:c>
      <x:c r="N1" s="12" t="str">
        <x:v>U_sim_mps_scaled</x:v>
      </x:c>
      <x:c r="O1" s="12" t="str">
        <x:v>V_sim_ratio_scaled</x:v>
      </x:c>
      <x:c r="P1" s="12" t="str">
        <x:v>U_nearest_mps_scaled</x:v>
      </x:c>
      <x:c r="Q1" s="12" t="str">
        <x:v>V_exp_ratio</x:v>
      </x:c>
      <x:c r="R1" s="12" t="str">
        <x:v>U_exp_mps</x:v>
      </x:c>
      <x:c r="S1" s="12" t="str">
        <x:v>Error_mps</x:v>
      </x:c>
      <x:c r="T1" s="12" t="str">
        <x:v>Abs_Error_mps</x:v>
      </x:c>
      <x:c r="U1" s="12" t="str">
        <x:v>Error_ratio</x:v>
      </x:c>
      <x:c r="V1" s="12" t="str">
        <x:v>Abs_Error_ratio</x:v>
      </x:c>
      <x:c r="W1" s="12" t="str">
        <x:v>Sampling_method</x:v>
      </x:c>
      <x:c r="X1" s="12" t="str">
        <x:v>Notes</x:v>
      </x:c>
      <x:c r="Y1" s="12" t="str">
        <x:v>APE_ratio</x:v>
      </x:c>
    </x:row>
    <x:row r="2">
      <x:c r="A2" s="13" t="n">
        <x:v>1</x:v>
      </x:c>
      <x:c r="B2" s="13" t="str">
        <x:v>ac</x:v>
      </x:c>
      <x:c r="C2" s="13" t="str">
        <x:v>N</x:v>
      </x:c>
      <x:c r="D2" s="14" t="n">
        <x:v>-27</x:v>
      </x:c>
      <x:c r="E2" s="14" t="n">
        <x:v>112</x:v>
      </x:c>
      <x:c r="F2" s="14" t="n">
        <x:v>2</x:v>
      </x:c>
      <x:c r="G2" s="14" t="n">
        <x:v>54.6</x:v>
      </x:c>
      <x:c r="H2" s="14" t="n">
        <x:v>122.4</x:v>
      </x:c>
      <x:c r="I2" s="14" t="n">
        <x:v>0.4</x:v>
      </x:c>
      <x:c r="J2" s="14" t="n">
        <x:v>55</x:v>
      </x:c>
      <x:c r="K2" s="14" t="n">
        <x:v>122</x:v>
      </x:c>
      <x:c r="L2" s="14" t="n">
        <x:v>0</x:v>
      </x:c>
      <x:c r="M2" s="14" t="n">
        <x:v>0.02897540616868564</x:v>
      </x:c>
      <x:c r="N2" s="14" t="n">
        <x:f>M2*'Assumptions'!$B$8</x:f>
        <x:v>1.1382397215082312</x:v>
      </x:c>
      <x:c r="O2" s="14" t="n">
        <x:f>N2/'Assumptions'!$B$6</x:f>
        <x:v>0.28975406168685636</x:v>
      </x:c>
      <x:c r="P2" s="14" t="n">
        <x:v>0.7937659984191618</x:v>
      </x:c>
      <x:c r="Q2" s="15" t="n">
        <x:v>0.18</x:v>
      </x:c>
      <x:c r="R2" s="14" t="n">
        <x:f>Q2*'Assumptions'!$B$6</x:f>
        <x:v>0.7070932799999999</x:v>
      </x:c>
      <x:c r="S2" s="14" t="n">
        <x:f>N2-R2</x:f>
        <x:v>0.4311464415082312</x:v>
      </x:c>
      <x:c r="T2" s="14" t="n">
        <x:f>ABS(S2)</x:f>
        <x:v>0.4311464415082312</x:v>
      </x:c>
      <x:c r="U2" s="14" t="n">
        <x:f>O2-Q2</x:f>
        <x:v>0.10975406168685636</x:v>
      </x:c>
      <x:c r="V2" s="14" t="n">
        <x:f>ABS(U2)</x:f>
        <x:v>0.10975406168685636</x:v>
      </x:c>
      <x:c r="W2" s="17" t="str">
        <x:v>trilinear_world_xyz</x:v>
      </x:c>
      <x:c r="X2" s="17" t="str">
        <x:v>dx=5m smoke run; z=2m lies between ground and z=5m layer</x:v>
      </x:c>
      <x:c r="Y2" s="16" t="n">
        <x:f>IF(Q2=0,"",V2/Q2)</x:f>
        <x:v>0.609744787149202</x:v>
      </x:c>
    </x:row>
    <x:row r="3">
      <x:c r="A3" s="13" t="n">
        <x:v>2</x:v>
      </x:c>
      <x:c r="B3" s="13" t="str">
        <x:v>ac</x:v>
      </x:c>
      <x:c r="C3" s="13" t="str">
        <x:v>N</x:v>
      </x:c>
      <x:c r="D3" s="14" t="n">
        <x:v>-93</x:v>
      </x:c>
      <x:c r="E3" s="14" t="n">
        <x:v>33</x:v>
      </x:c>
      <x:c r="F3" s="14" t="n">
        <x:v>2</x:v>
      </x:c>
      <x:c r="G3" s="14" t="n">
        <x:v>41.4</x:v>
      </x:c>
      <x:c r="H3" s="14" t="n">
        <x:v>106.6</x:v>
      </x:c>
      <x:c r="I3" s="14" t="n">
        <x:v>0.4</x:v>
      </x:c>
      <x:c r="J3" s="14" t="n">
        <x:v>41</x:v>
      </x:c>
      <x:c r="K3" s="14" t="n">
        <x:v>107</x:v>
      </x:c>
      <x:c r="L3" s="14" t="n">
        <x:v>0</x:v>
      </x:c>
      <x:c r="M3" s="14" t="n">
        <x:v>0.018944511509097255</x:v>
      </x:c>
      <x:c r="N3" s="14" t="n">
        <x:f>M3*'Assumptions'!$B$8</x:f>
        <x:v>0.744196487831407</x:v>
      </x:c>
      <x:c r="O3" s="14" t="n">
        <x:f>N3/'Assumptions'!$B$6</x:f>
        <x:v>0.18944511509097253</x:v>
      </x:c>
      <x:c r="P3" s="14" t="n">
        <x:v>0.6851892645617004</x:v>
      </x:c>
      <x:c r="Q3" s="15" t="n">
        <x:v>0.59</x:v>
      </x:c>
      <x:c r="R3" s="14" t="n">
        <x:f>Q3*'Assumptions'!$B$6</x:f>
        <x:v>2.31769464</x:v>
      </x:c>
      <x:c r="S3" s="14" t="n">
        <x:f>N3-R3</x:f>
        <x:v>-1.5734981521685931</x:v>
      </x:c>
      <x:c r="T3" s="14" t="n">
        <x:f>ABS(S3)</x:f>
        <x:v>1.5734981521685931</x:v>
      </x:c>
      <x:c r="U3" s="14" t="n">
        <x:f>O3-Q3</x:f>
        <x:v>-0.40055488490902746</x:v>
      </x:c>
      <x:c r="V3" s="14" t="n">
        <x:f>ABS(U3)</x:f>
        <x:v>0.40055488490902746</x:v>
      </x:c>
      <x:c r="W3" s="17" t="str">
        <x:v>trilinear_world_xyz</x:v>
      </x:c>
      <x:c r="X3" s="17" t="str">
        <x:v>dx=5m smoke run; z=2m lies between ground and z=5m layer</x:v>
      </x:c>
      <x:c r="Y3" s="16" t="n">
        <x:f>IF(Q3=0,"",V3/Q3)</x:f>
        <x:v>0.678906584591572</x:v>
      </x:c>
    </x:row>
    <x:row r="4">
      <x:c r="A4" s="13" t="n">
        <x:v>3</x:v>
      </x:c>
      <x:c r="B4" s="13" t="str">
        <x:v>ac</x:v>
      </x:c>
      <x:c r="C4" s="13" t="str">
        <x:v>N</x:v>
      </x:c>
      <x:c r="D4" s="14" t="n">
        <x:v>-88</x:v>
      </x:c>
      <x:c r="E4" s="14" t="n">
        <x:v>35</x:v>
      </x:c>
      <x:c r="F4" s="14" t="n">
        <x:v>2</x:v>
      </x:c>
      <x:c r="G4" s="14" t="n">
        <x:v>42.4</x:v>
      </x:c>
      <x:c r="H4" s="14" t="n">
        <x:v>107</x:v>
      </x:c>
      <x:c r="I4" s="14" t="n">
        <x:v>0.4</x:v>
      </x:c>
      <x:c r="J4" s="14" t="n">
        <x:v>42</x:v>
      </x:c>
      <x:c r="K4" s="14" t="n">
        <x:v>107</x:v>
      </x:c>
      <x:c r="L4" s="14" t="n">
        <x:v>0</x:v>
      </x:c>
      <x:c r="M4" s="14" t="n">
        <x:v>0.023950421336172242</x:v>
      </x:c>
      <x:c r="N4" s="14" t="n">
        <x:f>M4*'Assumptions'!$B$8</x:f>
        <x:v>0.9408434433320007</x:v>
      </x:c>
      <x:c r="O4" s="14" t="n">
        <x:f>N4/'Assumptions'!$B$6</x:f>
        <x:v>0.2395042133617224</x:v>
      </x:c>
      <x:c r="P4" s="14" t="n">
        <x:v>0.7164928974365228</x:v>
      </x:c>
      <x:c r="Q4" s="15" t="n">
        <x:v>0.38</x:v>
      </x:c>
      <x:c r="R4" s="14" t="n">
        <x:f>Q4*'Assumptions'!$B$6</x:f>
        <x:v>1.49275248</x:v>
      </x:c>
      <x:c r="S4" s="14" t="n">
        <x:f>N4-R4</x:f>
        <x:v>-0.5519090366679994</x:v>
      </x:c>
      <x:c r="T4" s="14" t="n">
        <x:f>ABS(S4)</x:f>
        <x:v>0.5519090366679994</x:v>
      </x:c>
      <x:c r="U4" s="14" t="n">
        <x:f>O4-Q4</x:f>
        <x:v>-0.1404957866382776</x:v>
      </x:c>
      <x:c r="V4" s="14" t="n">
        <x:f>ABS(U4)</x:f>
        <x:v>0.1404957866382776</x:v>
      </x:c>
      <x:c r="W4" s="17" t="str">
        <x:v>trilinear_world_xyz</x:v>
      </x:c>
      <x:c r="X4" s="17" t="str">
        <x:v>dx=5m smoke run; z=2m lies between ground and z=5m layer</x:v>
      </x:c>
      <x:c r="Y4" s="16" t="n">
        <x:f>IF(Q4=0,"",V4/Q4)</x:f>
        <x:v>0.36972575431125687</x:v>
      </x:c>
    </x:row>
    <x:row r="5">
      <x:c r="A5" s="13" t="n">
        <x:v>4</x:v>
      </x:c>
      <x:c r="B5" s="13" t="str">
        <x:v>ac</x:v>
      </x:c>
      <x:c r="C5" s="13" t="str">
        <x:v>N</x:v>
      </x:c>
      <x:c r="D5" s="14" t="n">
        <x:v>-74</x:v>
      </x:c>
      <x:c r="E5" s="14" t="n">
        <x:v>40</x:v>
      </x:c>
      <x:c r="F5" s="14" t="n">
        <x:v>2</x:v>
      </x:c>
      <x:c r="G5" s="14" t="n">
        <x:v>45.2</x:v>
      </x:c>
      <x:c r="H5" s="14" t="n">
        <x:v>108</x:v>
      </x:c>
      <x:c r="I5" s="14" t="n">
        <x:v>0.4</x:v>
      </x:c>
      <x:c r="J5" s="14" t="n">
        <x:v>45</x:v>
      </x:c>
      <x:c r="K5" s="14" t="n">
        <x:v>108</x:v>
      </x:c>
      <x:c r="L5" s="14" t="n">
        <x:v>0</x:v>
      </x:c>
      <x:c r="M5" s="14" t="n">
        <x:v>0.025896579288793922</x:v>
      </x:c>
      <x:c r="N5" s="14" t="n">
        <x:f>M5*'Assumptions'!$B$8</x:f>
        <x:v>1.01729428833852</x:v>
      </x:c>
      <x:c r="O5" s="14" t="n">
        <x:f>N5/'Assumptions'!$B$6</x:f>
        <x:v>0.2589657928879392</x:v>
      </x:c>
      <x:c r="P5" s="14" t="n">
        <x:v>0.7674987894946863</x:v>
      </x:c>
      <x:c r="Q5" s="15" t="n">
        <x:v>0.32</x:v>
      </x:c>
      <x:c r="R5" s="14" t="n">
        <x:f>Q5*'Assumptions'!$B$6</x:f>
        <x:v>1.25705472</x:v>
      </x:c>
      <x:c r="S5" s="14" t="n">
        <x:f>N5-R5</x:f>
        <x:v>-0.23976043166147987</x:v>
      </x:c>
      <x:c r="T5" s="14" t="n">
        <x:f>ABS(S5)</x:f>
        <x:v>0.23976043166147987</x:v>
      </x:c>
      <x:c r="U5" s="14" t="n">
        <x:f>O5-Q5</x:f>
        <x:v>-0.06103420711206081</x:v>
      </x:c>
      <x:c r="V5" s="14" t="n">
        <x:f>ABS(U5)</x:f>
        <x:v>0.06103420711206081</x:v>
      </x:c>
      <x:c r="W5" s="17" t="str">
        <x:v>trilinear_world_xyz</x:v>
      </x:c>
      <x:c r="X5" s="17" t="str">
        <x:v>dx=5m smoke run; z=2m lies between ground and z=5m layer</x:v>
      </x:c>
      <x:c r="Y5" s="16" t="n">
        <x:f>IF(Q5=0,"",V5/Q5)</x:f>
        <x:v>0.19073189722519004</x:v>
      </x:c>
    </x:row>
    <x:row r="6">
      <x:c r="A6" s="13" t="n">
        <x:v>5</x:v>
      </x:c>
      <x:c r="B6" s="13" t="str">
        <x:v>ac</x:v>
      </x:c>
      <x:c r="C6" s="13" t="str">
        <x:v>N</x:v>
      </x:c>
      <x:c r="D6" s="14" t="n">
        <x:v>-61</x:v>
      </x:c>
      <x:c r="E6" s="14" t="n">
        <x:v>45.5</x:v>
      </x:c>
      <x:c r="F6" s="14" t="n">
        <x:v>2</x:v>
      </x:c>
      <x:c r="G6" s="14" t="n">
        <x:v>47.8</x:v>
      </x:c>
      <x:c r="H6" s="14" t="n">
        <x:v>109.1</x:v>
      </x:c>
      <x:c r="I6" s="14" t="n">
        <x:v>0.4</x:v>
      </x:c>
      <x:c r="J6" s="14" t="n">
        <x:v>48</x:v>
      </x:c>
      <x:c r="K6" s="14" t="n">
        <x:v>109</x:v>
      </x:c>
      <x:c r="L6" s="14" t="n">
        <x:v>0</x:v>
      </x:c>
      <x:c r="M6" s="14" t="n">
        <x:v>0.02677990373703551</x:v>
      </x:c>
      <x:c r="N6" s="14" t="n">
        <x:f>M6*'Assumptions'!$B$8</x:f>
        <x:v>1.0519938873058163</x:v>
      </x:c>
      <x:c r="O6" s="14" t="n">
        <x:f>N6/'Assumptions'!$B$6</x:f>
        <x:v>0.26779903737035504</x:v>
      </x:c>
      <x:c r="P6" s="14" t="n">
        <x:v>0.78882217400812</x:v>
      </x:c>
      <x:c r="Q6" s="15" t="n">
        <x:v>0.3</x:v>
      </x:c>
      <x:c r="R6" s="14" t="n">
        <x:f>Q6*'Assumptions'!$B$6</x:f>
        <x:v>1.1784888</x:v>
      </x:c>
      <x:c r="S6" s="14" t="n">
        <x:f>N6-R6</x:f>
        <x:v>-0.12649491269418367</x:v>
      </x:c>
      <x:c r="T6" s="14" t="n">
        <x:f>ABS(S6)</x:f>
        <x:v>0.12649491269418367</x:v>
      </x:c>
      <x:c r="U6" s="14" t="n">
        <x:f>O6-Q6</x:f>
        <x:v>-0.03220096262964495</x:v>
      </x:c>
      <x:c r="V6" s="14" t="n">
        <x:f>ABS(U6)</x:f>
        <x:v>0.03220096262964495</x:v>
      </x:c>
      <x:c r="W6" s="17" t="str">
        <x:v>trilinear_world_xyz</x:v>
      </x:c>
      <x:c r="X6" s="17" t="str">
        <x:v>dx=5m smoke run; z=2m lies between ground and z=5m layer</x:v>
      </x:c>
      <x:c r="Y6" s="16" t="n">
        <x:f>IF(Q6=0,"",V6/Q6)</x:f>
        <x:v>0.10733654209881649</x:v>
      </x:c>
    </x:row>
    <x:row r="7">
      <x:c r="A7" s="13" t="n">
        <x:v>6</x:v>
      </x:c>
      <x:c r="B7" s="13" t="str">
        <x:v>ac</x:v>
      </x:c>
      <x:c r="C7" s="13" t="str">
        <x:v>N</x:v>
      </x:c>
      <x:c r="D7" s="14" t="n">
        <x:v>-50.5</x:v>
      </x:c>
      <x:c r="E7" s="14" t="n">
        <x:v>49.5</x:v>
      </x:c>
      <x:c r="F7" s="14" t="n">
        <x:v>2</x:v>
      </x:c>
      <x:c r="G7" s="14" t="n">
        <x:v>49.9</x:v>
      </x:c>
      <x:c r="H7" s="14" t="n">
        <x:v>109.9</x:v>
      </x:c>
      <x:c r="I7" s="14" t="n">
        <x:v>0.4</x:v>
      </x:c>
      <x:c r="J7" s="14" t="n">
        <x:v>50</x:v>
      </x:c>
      <x:c r="K7" s="14" t="n">
        <x:v>110</x:v>
      </x:c>
      <x:c r="L7" s="14" t="n">
        <x:v>0</x:v>
      </x:c>
      <x:c r="M7" s="14" t="n">
        <x:v>0.01766667237170216</x:v>
      </x:c>
      <x:c r="N7" s="14" t="n">
        <x:f>M7*'Assumptions'!$B$8</x:f>
        <x:v>0.693999184110681</x:v>
      </x:c>
      <x:c r="O7" s="14" t="n">
        <x:f>N7/'Assumptions'!$B$6</x:f>
        <x:v>0.17666672371702158</x:v>
      </x:c>
      <x:c r="P7" s="14" t="n">
        <x:v>0.4790264399855833</x:v>
      </x:c>
      <x:c r="Q7" s="15" t="n">
        <x:v>0.34</x:v>
      </x:c>
      <x:c r="R7" s="14" t="n">
        <x:f>Q7*'Assumptions'!$B$6</x:f>
        <x:v>1.3356206400000001</x:v>
      </x:c>
      <x:c r="S7" s="14" t="n">
        <x:f>N7-R7</x:f>
        <x:v>-0.6416214558893192</x:v>
      </x:c>
      <x:c r="T7" s="14" t="n">
        <x:f>ABS(S7)</x:f>
        <x:v>0.6416214558893192</x:v>
      </x:c>
      <x:c r="U7" s="14" t="n">
        <x:f>O7-Q7</x:f>
        <x:v>-0.16333327628297845</x:v>
      </x:c>
      <x:c r="V7" s="14" t="n">
        <x:f>ABS(U7)</x:f>
        <x:v>0.16333327628297845</x:v>
      </x:c>
      <x:c r="W7" s="17" t="str">
        <x:v>trilinear_world_xyz</x:v>
      </x:c>
      <x:c r="X7" s="17" t="str">
        <x:v>dx=5m smoke run; z=2m lies between ground and z=5m layer</x:v>
      </x:c>
      <x:c r="Y7" s="16" t="n">
        <x:f>IF(Q7=0,"",V7/Q7)</x:f>
        <x:v>0.4803919890675836</x:v>
      </x:c>
    </x:row>
    <x:row r="8">
      <x:c r="A8" s="13" t="n">
        <x:v>7</x:v>
      </x:c>
      <x:c r="B8" s="13" t="str">
        <x:v>ac</x:v>
      </x:c>
      <x:c r="C8" s="13" t="str">
        <x:v>N</x:v>
      </x:c>
      <x:c r="D8" s="14" t="n">
        <x:v>-33.5</x:v>
      </x:c>
      <x:c r="E8" s="14" t="n">
        <x:v>57.5</x:v>
      </x:c>
      <x:c r="F8" s="14" t="n">
        <x:v>2</x:v>
      </x:c>
      <x:c r="G8" s="14" t="n">
        <x:v>53.3</x:v>
      </x:c>
      <x:c r="H8" s="14" t="n">
        <x:v>111.5</x:v>
      </x:c>
      <x:c r="I8" s="14" t="n">
        <x:v>0.4</x:v>
      </x:c>
      <x:c r="J8" s="14" t="n">
        <x:v>53</x:v>
      </x:c>
      <x:c r="K8" s="14" t="n">
        <x:v>112</x:v>
      </x:c>
      <x:c r="L8" s="14" t="n">
        <x:v>0</x:v>
      </x:c>
      <x:c r="M8" s="14" t="n">
        <x:v>0.010866351449572766</x:v>
      </x:c>
      <x:c r="N8" s="14" t="n">
        <x:f>M8*'Assumptions'!$B$8</x:f>
        <x:v>0.42686244933950895</x:v>
      </x:c>
      <x:c r="O8" s="14" t="n">
        <x:f>N8/'Assumptions'!$B$6</x:f>
        <x:v>0.10866351449572766</x:v>
      </x:c>
      <x:c r="P8" s="14" t="n">
        <x:v>0.39632361337947836</x:v>
      </x:c>
      <x:c r="Q8" s="15" t="n">
        <x:v>0.26</x:v>
      </x:c>
      <x:c r="R8" s="14" t="n">
        <x:f>Q8*'Assumptions'!$B$6</x:f>
        <x:v>1.02135696</x:v>
      </x:c>
      <x:c r="S8" s="14" t="n">
        <x:f>N8-R8</x:f>
        <x:v>-0.5944945106604911</x:v>
      </x:c>
      <x:c r="T8" s="14" t="n">
        <x:f>ABS(S8)</x:f>
        <x:v>0.5944945106604911</x:v>
      </x:c>
      <x:c r="U8" s="14" t="n">
        <x:f>O8-Q8</x:f>
        <x:v>-0.15133648550427237</x:v>
      </x:c>
      <x:c r="V8" s="14" t="n">
        <x:f>ABS(U8)</x:f>
        <x:v>0.15133648550427237</x:v>
      </x:c>
      <x:c r="W8" s="17" t="str">
        <x:v>trilinear_world_xyz</x:v>
      </x:c>
      <x:c r="X8" s="17" t="str">
        <x:v>dx=5m smoke run; z=2m lies between ground and z=5m layer</x:v>
      </x:c>
      <x:c r="Y8" s="16" t="n">
        <x:f>IF(Q8=0,"",V8/Q8)</x:f>
        <x:v>0.582063405785663</x:v>
      </x:c>
    </x:row>
    <x:row r="9">
      <x:c r="A9" s="13" t="n">
        <x:v>8</x:v>
      </x:c>
      <x:c r="B9" s="13" t="str">
        <x:v>ac</x:v>
      </x:c>
      <x:c r="C9" s="13" t="str">
        <x:v>N</x:v>
      </x:c>
      <x:c r="D9" s="14" t="n">
        <x:v>-9.5</x:v>
      </x:c>
      <x:c r="E9" s="14" t="n">
        <x:v>69</x:v>
      </x:c>
      <x:c r="F9" s="14" t="n">
        <x:v>2</x:v>
      </x:c>
      <x:c r="G9" s="14" t="n">
        <x:v>58.1</x:v>
      </x:c>
      <x:c r="H9" s="14" t="n">
        <x:v>113.8</x:v>
      </x:c>
      <x:c r="I9" s="14" t="n">
        <x:v>0.4</x:v>
      </x:c>
      <x:c r="J9" s="14" t="n">
        <x:v>58</x:v>
      </x:c>
      <x:c r="K9" s="14" t="n">
        <x:v>114</x:v>
      </x:c>
      <x:c r="L9" s="14" t="n">
        <x:v>0</x:v>
      </x:c>
      <x:c r="M9" s="14" t="n">
        <x:v>0.028578237084344232</x:v>
      </x:c>
      <x:c r="N9" s="14" t="n">
        <x:f>M9*'Assumptions'!$B$8</x:f>
        <x:v>1.122637744254811</x:v>
      </x:c>
      <x:c r="O9" s="14" t="n">
        <x:f>N9/'Assumptions'!$B$6</x:f>
        <x:v>0.28578237084344227</x:v>
      </x:c>
      <x:c r="P9" s="14" t="n">
        <x:v>0.7909837211027204</x:v>
      </x:c>
      <x:c r="Q9" s="15" t="n">
        <x:v>0.14</x:v>
      </x:c>
      <x:c r="R9" s="14" t="n">
        <x:f>Q9*'Assumptions'!$B$6</x:f>
        <x:v>0.54996144</x:v>
      </x:c>
      <x:c r="S9" s="14" t="n">
        <x:f>N9-R9</x:f>
        <x:v>0.572676304254811</x:v>
      </x:c>
      <x:c r="T9" s="14" t="n">
        <x:f>ABS(S9)</x:f>
        <x:v>0.572676304254811</x:v>
      </x:c>
      <x:c r="U9" s="14" t="n">
        <x:f>O9-Q9</x:f>
        <x:v>0.14578237084344225</x:v>
      </x:c>
      <x:c r="V9" s="14" t="n">
        <x:f>ABS(U9)</x:f>
        <x:v>0.14578237084344225</x:v>
      </x:c>
      <x:c r="W9" s="17" t="str">
        <x:v>trilinear_world_xyz</x:v>
      </x:c>
      <x:c r="X9" s="17" t="str">
        <x:v>dx=5m smoke run; z=2m lies between ground and z=5m layer</x:v>
      </x:c>
      <x:c r="Y9" s="16" t="n">
        <x:f>IF(Q9=0,"",V9/Q9)</x:f>
        <x:v>1.0413026488817303</x:v>
      </x:c>
    </x:row>
    <x:row r="10">
      <x:c r="A10" s="13" t="n">
        <x:v>9</x:v>
      </x:c>
      <x:c r="B10" s="13" t="str">
        <x:v>ac</x:v>
      </x:c>
      <x:c r="C10" s="13" t="str">
        <x:v>N</x:v>
      </x:c>
      <x:c r="D10" s="14" t="n">
        <x:v>7</x:v>
      </x:c>
      <x:c r="E10" s="14" t="n">
        <x:v>76.5</x:v>
      </x:c>
      <x:c r="F10" s="14" t="n">
        <x:v>2</x:v>
      </x:c>
      <x:c r="G10" s="14" t="n">
        <x:v>61.4</x:v>
      </x:c>
      <x:c r="H10" s="14" t="n">
        <x:v>115.3</x:v>
      </x:c>
      <x:c r="I10" s="14" t="n">
        <x:v>0.4</x:v>
      </x:c>
      <x:c r="J10" s="14" t="n">
        <x:v>61</x:v>
      </x:c>
      <x:c r="K10" s="14" t="n">
        <x:v>115</x:v>
      </x:c>
      <x:c r="L10" s="14" t="n">
        <x:v>0</x:v>
      </x:c>
      <x:c r="M10" s="14" t="n">
        <x:v>0.02922273743246956</x:v>
      </x:c>
      <x:c r="N10" s="14" t="n">
        <x:f>M10*'Assumptions'!$B$8</x:f>
        <x:v>1.1479556256502041</x:v>
      </x:c>
      <x:c r="O10" s="14" t="n">
        <x:f>N10/'Assumptions'!$B$6</x:f>
        <x:v>0.29222737432469553</x:v>
      </x:c>
      <x:c r="P10" s="14" t="n">
        <x:v>0.8152541928763606</x:v>
      </x:c>
      <x:c r="Q10" s="15" t="n">
        <x:v>0.12</x:v>
      </x:c>
      <x:c r="R10" s="14" t="n">
        <x:f>Q10*'Assumptions'!$B$6</x:f>
        <x:v>0.47139551999999996</x:v>
      </x:c>
      <x:c r="S10" s="14" t="n">
        <x:f>N10-R10</x:f>
        <x:v>0.6765601056502042</x:v>
      </x:c>
      <x:c r="T10" s="14" t="n">
        <x:f>ABS(S10)</x:f>
        <x:v>0.6765601056502042</x:v>
      </x:c>
      <x:c r="U10" s="14" t="n">
        <x:f>O10-Q10</x:f>
        <x:v>0.17222737432469554</x:v>
      </x:c>
      <x:c r="V10" s="14" t="n">
        <x:f>ABS(U10)</x:f>
        <x:v>0.17222737432469554</x:v>
      </x:c>
      <x:c r="W10" s="17" t="str">
        <x:v>trilinear_world_xyz</x:v>
      </x:c>
      <x:c r="X10" s="17" t="str">
        <x:v>dx=5m smoke run; z=2m lies between ground and z=5m layer</x:v>
      </x:c>
      <x:c r="Y10" s="16" t="n">
        <x:f>IF(Q10=0,"",V10/Q10)</x:f>
        <x:v>1.4352281193724628</x:v>
      </x:c>
    </x:row>
    <x:row r="11">
      <x:c r="A11" s="13" t="n">
        <x:v>10</x:v>
      </x:c>
      <x:c r="B11" s="13" t="str">
        <x:v>ac</x:v>
      </x:c>
      <x:c r="C11" s="13" t="str">
        <x:v>N</x:v>
      </x:c>
      <x:c r="D11" s="14" t="n">
        <x:v>45</x:v>
      </x:c>
      <x:c r="E11" s="14" t="n">
        <x:v>94</x:v>
      </x:c>
      <x:c r="F11" s="14" t="n">
        <x:v>2</x:v>
      </x:c>
      <x:c r="G11" s="14" t="n">
        <x:v>69</x:v>
      </x:c>
      <x:c r="H11" s="14" t="n">
        <x:v>118.8</x:v>
      </x:c>
      <x:c r="I11" s="14" t="n">
        <x:v>0.4</x:v>
      </x:c>
      <x:c r="J11" s="14" t="n">
        <x:v>69</x:v>
      </x:c>
      <x:c r="K11" s="14" t="n">
        <x:v>119</x:v>
      </x:c>
      <x:c r="L11" s="14" t="n">
        <x:v>0</x:v>
      </x:c>
      <x:c r="M11" s="14" t="n">
        <x:v>0.029823083156961083</x:v>
      </x:c>
      <x:c r="N11" s="14" t="n">
        <x:f>M11*'Assumptions'!$B$8</x:f>
        <x:v>1.1715389827315759</x:v>
      </x:c>
      <x:c r="O11" s="14" t="n">
        <x:f>N11/'Assumptions'!$B$6</x:f>
        <x:v>0.29823083156961083</x:v>
      </x:c>
      <x:c r="P11" s="14" t="n">
        <x:v>0.8195102903379509</x:v>
      </x:c>
      <x:c r="Q11" s="15" t="n">
        <x:v>0.1</x:v>
      </x:c>
      <x:c r="R11" s="14" t="n">
        <x:f>Q11*'Assumptions'!$B$6</x:f>
        <x:v>0.3928296</x:v>
      </x:c>
      <x:c r="S11" s="14" t="n">
        <x:f>N11-R11</x:f>
        <x:v>0.7787093827315759</x:v>
      </x:c>
      <x:c r="T11" s="14" t="n">
        <x:f>ABS(S11)</x:f>
        <x:v>0.7787093827315759</x:v>
      </x:c>
      <x:c r="U11" s="14" t="n">
        <x:f>O11-Q11</x:f>
        <x:v>0.19823083156961083</x:v>
      </x:c>
      <x:c r="V11" s="14" t="n">
        <x:f>ABS(U11)</x:f>
        <x:v>0.19823083156961083</x:v>
      </x:c>
      <x:c r="W11" s="17" t="str">
        <x:v>trilinear_world_xyz</x:v>
      </x:c>
      <x:c r="X11" s="17" t="str">
        <x:v>dx=5m smoke run; z=2m lies between ground and z=5m layer</x:v>
      </x:c>
      <x:c r="Y11" s="16" t="n">
        <x:f>IF(Q11=0,"",V11/Q11)</x:f>
        <x:v>1.982308315696108</x:v>
      </x:c>
    </x:row>
    <x:row r="12">
      <x:c r="A12" s="13" t="n">
        <x:v>11</x:v>
      </x:c>
      <x:c r="B12" s="13" t="str">
        <x:v>ac</x:v>
      </x:c>
      <x:c r="C12" s="13" t="str">
        <x:v>N</x:v>
      </x:c>
      <x:c r="D12" s="14" t="n">
        <x:v>80.5</x:v>
      </x:c>
      <x:c r="E12" s="14" t="n">
        <x:v>110</x:v>
      </x:c>
      <x:c r="F12" s="14" t="n">
        <x:v>2</x:v>
      </x:c>
      <x:c r="G12" s="14" t="n">
        <x:v>76.1</x:v>
      </x:c>
      <x:c r="H12" s="14" t="n">
        <x:v>122</x:v>
      </x:c>
      <x:c r="I12" s="14" t="n">
        <x:v>0.4</x:v>
      </x:c>
      <x:c r="J12" s="14" t="n">
        <x:v>76</x:v>
      </x:c>
      <x:c r="K12" s="14" t="n">
        <x:v>122</x:v>
      </x:c>
      <x:c r="L12" s="14" t="n">
        <x:v>0</x:v>
      </x:c>
      <x:c r="M12" s="14" t="n">
        <x:v>0.030208200884784733</x:v>
      </x:c>
      <x:c r="N12" s="14" t="n">
        <x:f>M12*'Assumptions'!$B$8</x:f>
        <x:v>1.1866675470289632</x:v>
      </x:c>
      <x:c r="O12" s="14" t="n">
        <x:f>N12/'Assumptions'!$B$6</x:f>
        <x:v>0.3020820088478473</x:v>
      </x:c>
      <x:c r="P12" s="14" t="n">
        <x:v>0.8224532059497883</x:v>
      </x:c>
      <x:c r="Q12" s="15" t="n">
        <x:v>0.55</x:v>
      </x:c>
      <x:c r="R12" s="14" t="n">
        <x:f>Q12*'Assumptions'!$B$6</x:f>
        <x:v>2.1605628</x:v>
      </x:c>
      <x:c r="S12" s="14" t="n">
        <x:f>N12-R12</x:f>
        <x:v>-0.973895252971037</x:v>
      </x:c>
      <x:c r="T12" s="14" t="n">
        <x:f>ABS(S12)</x:f>
        <x:v>0.973895252971037</x:v>
      </x:c>
      <x:c r="U12" s="14" t="n">
        <x:f>O12-Q12</x:f>
        <x:v>-0.24791799115215274</x:v>
      </x:c>
      <x:c r="V12" s="14" t="n">
        <x:f>ABS(U12)</x:f>
        <x:v>0.24791799115215274</x:v>
      </x:c>
      <x:c r="W12" s="17" t="str">
        <x:v>trilinear_world_xyz</x:v>
      </x:c>
      <x:c r="X12" s="17" t="str">
        <x:v>dx=5m smoke run; z=2m lies between ground and z=5m layer</x:v>
      </x:c>
      <x:c r="Y12" s="16" t="n">
        <x:f>IF(Q12=0,"",V12/Q12)</x:f>
        <x:v>0.4507599839130049</x:v>
      </x:c>
    </x:row>
    <x:row r="13">
      <x:c r="A13" s="13" t="n">
        <x:v>12</x:v>
      </x:c>
      <x:c r="B13" s="13" t="str">
        <x:v>ac</x:v>
      </x:c>
      <x:c r="C13" s="13" t="str">
        <x:v>N</x:v>
      </x:c>
      <x:c r="D13" s="14" t="n">
        <x:v>-133</x:v>
      </x:c>
      <x:c r="E13" s="14" t="n">
        <x:v>21</x:v>
      </x:c>
      <x:c r="F13" s="14" t="n">
        <x:v>2</x:v>
      </x:c>
      <x:c r="G13" s="14" t="n">
        <x:v>33.4</x:v>
      </x:c>
      <x:c r="H13" s="14" t="n">
        <x:v>104.2</x:v>
      </x:c>
      <x:c r="I13" s="14" t="n">
        <x:v>0.4</x:v>
      </x:c>
      <x:c r="J13" s="14" t="n">
        <x:v>33</x:v>
      </x:c>
      <x:c r="K13" s="14" t="n">
        <x:v>104</x:v>
      </x:c>
      <x:c r="L13" s="14" t="n">
        <x:v>0</x:v>
      </x:c>
      <x:c r="M13" s="14" t="n">
        <x:v>0.034769970763491066</x:v>
      </x:c>
      <x:c r="N13" s="14" t="n">
        <x:f>M13*'Assumptions'!$B$8</x:f>
        <x:v>1.3658673707033888</x:v>
      </x:c>
      <x:c r="O13" s="14" t="n">
        <x:f>N13/'Assumptions'!$B$6</x:f>
        <x:v>0.3476997076349106</x:v>
      </x:c>
      <x:c r="P13" s="14" t="n">
        <x:v>0.9731521403466719</x:v>
      </x:c>
      <x:c r="Q13" s="15" t="n">
        <x:v>0.3</x:v>
      </x:c>
      <x:c r="R13" s="14" t="n">
        <x:f>Q13*'Assumptions'!$B$6</x:f>
        <x:v>1.1784888</x:v>
      </x:c>
      <x:c r="S13" s="14" t="n">
        <x:f>N13-R13</x:f>
        <x:v>0.1873785707033888</x:v>
      </x:c>
      <x:c r="T13" s="14" t="n">
        <x:f>ABS(S13)</x:f>
        <x:v>0.1873785707033888</x:v>
      </x:c>
      <x:c r="U13" s="14" t="n">
        <x:f>O13-Q13</x:f>
        <x:v>0.047699707634910604</x:v>
      </x:c>
      <x:c r="V13" s="14" t="n">
        <x:f>ABS(U13)</x:f>
        <x:v>0.047699707634910604</x:v>
      </x:c>
      <x:c r="W13" s="17" t="str">
        <x:v>trilinear_world_xyz</x:v>
      </x:c>
      <x:c r="X13" s="17" t="str">
        <x:v>dx=5m smoke run; z=2m lies between ground and z=5m layer</x:v>
      </x:c>
      <x:c r="Y13" s="16" t="n">
        <x:f>IF(Q13=0,"",V13/Q13)</x:f>
        <x:v>0.15899902544970201</x:v>
      </x:c>
    </x:row>
    <x:row r="14">
      <x:c r="A14" s="13" t="n">
        <x:v>13</x:v>
      </x:c>
      <x:c r="B14" s="13" t="str">
        <x:v>ac</x:v>
      </x:c>
      <x:c r="C14" s="13" t="str">
        <x:v>N</x:v>
      </x:c>
      <x:c r="D14" s="14" t="n">
        <x:v>-97</x:v>
      </x:c>
      <x:c r="E14" s="14" t="n">
        <x:v>19</x:v>
      </x:c>
      <x:c r="F14" s="14" t="n">
        <x:v>2</x:v>
      </x:c>
      <x:c r="G14" s="14" t="n">
        <x:v>40.6</x:v>
      </x:c>
      <x:c r="H14" s="14" t="n">
        <x:v>103.8</x:v>
      </x:c>
      <x:c r="I14" s="14" t="n">
        <x:v>0.4</x:v>
      </x:c>
      <x:c r="J14" s="14" t="n">
        <x:v>41</x:v>
      </x:c>
      <x:c r="K14" s="14" t="n">
        <x:v>104</x:v>
      </x:c>
      <x:c r="L14" s="14" t="n">
        <x:v>0</x:v>
      </x:c>
      <x:c r="M14" s="14" t="n">
        <x:v>0</x:v>
      </x:c>
      <x:c r="N14" s="14" t="n">
        <x:f>M14*'Assumptions'!$B$8</x:f>
        <x:v>0</x:v>
      </x:c>
      <x:c r="O14" s="14" t="n">
        <x:f>N14/'Assumptions'!$B$6</x:f>
        <x:v>0</x:v>
      </x:c>
      <x:c r="P14" s="14" t="n">
        <x:v>0</x:v>
      </x:c>
      <x:c r="Q14" s="15" t="n">
        <x:v>0.59</x:v>
      </x:c>
      <x:c r="R14" s="14" t="n">
        <x:f>Q14*'Assumptions'!$B$6</x:f>
        <x:v>2.31769464</x:v>
      </x:c>
      <x:c r="S14" s="14" t="n">
        <x:f>N14-R14</x:f>
        <x:v>-2.31769464</x:v>
      </x:c>
      <x:c r="T14" s="14" t="n">
        <x:f>ABS(S14)</x:f>
        <x:v>2.31769464</x:v>
      </x:c>
      <x:c r="U14" s="14" t="n">
        <x:f>O14-Q14</x:f>
        <x:v>-0.59</x:v>
      </x:c>
      <x:c r="V14" s="14" t="n">
        <x:f>ABS(U14)</x:f>
        <x:v>0.59</x:v>
      </x:c>
      <x:c r="W14" s="17" t="str">
        <x:v>trilinear_world_xyz</x:v>
      </x:c>
      <x:c r="X14" s="17" t="str">
        <x:v>dx=5m smoke run; z=2m lies between ground and z=5m layer</x:v>
      </x:c>
      <x:c r="Y14" s="16" t="n">
        <x:f>IF(Q14=0,"",V14/Q14)</x:f>
        <x:v>1</x:v>
      </x:c>
    </x:row>
    <x:row r="15">
      <x:c r="A15" s="13" t="n">
        <x:v>14</x:v>
      </x:c>
      <x:c r="B15" s="13" t="str">
        <x:v>ac</x:v>
      </x:c>
      <x:c r="C15" s="13" t="str">
        <x:v>N</x:v>
      </x:c>
      <x:c r="D15" s="14" t="n">
        <x:v>-84</x:v>
      </x:c>
      <x:c r="E15" s="14" t="n">
        <x:v>22.5</x:v>
      </x:c>
      <x:c r="F15" s="14" t="n">
        <x:v>2</x:v>
      </x:c>
      <x:c r="G15" s="14" t="n">
        <x:v>43.2</x:v>
      </x:c>
      <x:c r="H15" s="14" t="n">
        <x:v>104.5</x:v>
      </x:c>
      <x:c r="I15" s="14" t="n">
        <x:v>0.4</x:v>
      </x:c>
      <x:c r="J15" s="14" t="n">
        <x:v>43</x:v>
      </x:c>
      <x:c r="K15" s="14" t="n">
        <x:v>104</x:v>
      </x:c>
      <x:c r="L15" s="14" t="n">
        <x:v>0</x:v>
      </x:c>
      <x:c r="M15" s="14" t="n">
        <x:v>0.022132213502103655</x:v>
      </x:c>
      <x:c r="N15" s="14" t="n">
        <x:f>M15*'Assumptions'!$B$8</x:f>
        <x:v>0.8694188577145977</x:v>
      </x:c>
      <x:c r="O15" s="14" t="n">
        <x:f>N15/'Assumptions'!$B$6</x:f>
        <x:v>0.22132213502103654</x:v>
      </x:c>
      <x:c r="P15" s="14" t="n">
        <x:v>0.580580900050286</x:v>
      </x:c>
      <x:c r="Q15" s="15" t="n">
        <x:v>0.46</x:v>
      </x:c>
      <x:c r="R15" s="14" t="n">
        <x:f>Q15*'Assumptions'!$B$6</x:f>
        <x:v>1.80701616</x:v>
      </x:c>
      <x:c r="S15" s="14" t="n">
        <x:f>N15-R15</x:f>
        <x:v>-0.9375973022854024</x:v>
      </x:c>
      <x:c r="T15" s="14" t="n">
        <x:f>ABS(S15)</x:f>
        <x:v>0.9375973022854024</x:v>
      </x:c>
      <x:c r="U15" s="14" t="n">
        <x:f>O15-Q15</x:f>
        <x:v>-0.23867786497896348</x:v>
      </x:c>
      <x:c r="V15" s="14" t="n">
        <x:f>ABS(U15)</x:f>
        <x:v>0.23867786497896348</x:v>
      </x:c>
      <x:c r="W15" s="17" t="str">
        <x:v>trilinear_world_xyz</x:v>
      </x:c>
      <x:c r="X15" s="17" t="str">
        <x:v>dx=5m smoke run; z=2m lies between ground and z=5m layer</x:v>
      </x:c>
      <x:c r="Y15" s="16" t="n">
        <x:f>IF(Q15=0,"",V15/Q15)</x:f>
        <x:v>0.5188649238673119</x:v>
      </x:c>
    </x:row>
    <x:row r="16">
      <x:c r="A16" s="13" t="n">
        <x:v>15</x:v>
      </x:c>
      <x:c r="B16" s="13" t="str">
        <x:v>ac</x:v>
      </x:c>
      <x:c r="C16" s="13" t="str">
        <x:v>N</x:v>
      </x:c>
      <x:c r="D16" s="14" t="n">
        <x:v>-65.5</x:v>
      </x:c>
      <x:c r="E16" s="14" t="n">
        <x:v>29.5</x:v>
      </x:c>
      <x:c r="F16" s="14" t="n">
        <x:v>2</x:v>
      </x:c>
      <x:c r="G16" s="14" t="n">
        <x:v>46.9</x:v>
      </x:c>
      <x:c r="H16" s="14" t="n">
        <x:v>105.9</x:v>
      </x:c>
      <x:c r="I16" s="14" t="n">
        <x:v>0.4</x:v>
      </x:c>
      <x:c r="J16" s="14" t="n">
        <x:v>47</x:v>
      </x:c>
      <x:c r="K16" s="14" t="n">
        <x:v>106</x:v>
      </x:c>
      <x:c r="L16" s="14" t="n">
        <x:v>0</x:v>
      </x:c>
      <x:c r="M16" s="14" t="n">
        <x:v>0.02864622947366958</x:v>
      </x:c>
      <x:c r="N16" s="14" t="n">
        <x:f>M16*'Assumptions'!$B$8</x:f>
        <x:v>1.125308686564983</x:v>
      </x:c>
      <x:c r="O16" s="14" t="n">
        <x:f>N16/'Assumptions'!$B$6</x:f>
        <x:v>0.28646229473669577</x:v>
      </x:c>
      <x:c r="P16" s="14" t="n">
        <x:v>0.8256380736263417</x:v>
      </x:c>
      <x:c r="Q16" s="15" t="n">
        <x:v>0.4</x:v>
      </x:c>
      <x:c r="R16" s="14" t="n">
        <x:f>Q16*'Assumptions'!$B$6</x:f>
        <x:v>1.5713184</x:v>
      </x:c>
      <x:c r="S16" s="14" t="n">
        <x:f>N16-R16</x:f>
        <x:v>-0.44600971343501694</x:v>
      </x:c>
      <x:c r="T16" s="14" t="n">
        <x:f>ABS(S16)</x:f>
        <x:v>0.44600971343501694</x:v>
      </x:c>
      <x:c r="U16" s="14" t="n">
        <x:f>O16-Q16</x:f>
        <x:v>-0.11353770526330426</x:v>
      </x:c>
      <x:c r="V16" s="14" t="n">
        <x:f>ABS(U16)</x:f>
        <x:v>0.11353770526330426</x:v>
      </x:c>
      <x:c r="W16" s="17" t="str">
        <x:v>trilinear_world_xyz</x:v>
      </x:c>
      <x:c r="X16" s="17" t="str">
        <x:v>dx=5m smoke run; z=2m lies between ground and z=5m layer</x:v>
      </x:c>
      <x:c r="Y16" s="16" t="n">
        <x:f>IF(Q16=0,"",V16/Q16)</x:f>
        <x:v>0.2838442631582606</x:v>
      </x:c>
    </x:row>
    <x:row r="17">
      <x:c r="A17" s="13" t="n">
        <x:v>16</x:v>
      </x:c>
      <x:c r="B17" s="13" t="str">
        <x:v>ac</x:v>
      </x:c>
      <x:c r="C17" s="13" t="str">
        <x:v>N</x:v>
      </x:c>
      <x:c r="D17" s="14" t="n">
        <x:v>-47.5</x:v>
      </x:c>
      <x:c r="E17" s="14" t="n">
        <x:v>36.5</x:v>
      </x:c>
      <x:c r="F17" s="14" t="n">
        <x:v>2</x:v>
      </x:c>
      <x:c r="G17" s="14" t="n">
        <x:v>50.5</x:v>
      </x:c>
      <x:c r="H17" s="14" t="n">
        <x:v>107.3</x:v>
      </x:c>
      <x:c r="I17" s="14" t="n">
        <x:v>0.4</x:v>
      </x:c>
      <x:c r="J17" s="14" t="n">
        <x:v>50</x:v>
      </x:c>
      <x:c r="K17" s="14" t="n">
        <x:v>107</x:v>
      </x:c>
      <x:c r="L17" s="14" t="n">
        <x:v>0</x:v>
      </x:c>
      <x:c r="M17" s="14" t="n">
        <x:v>0.023359753809938738</x:v>
      </x:c>
      <x:c r="N17" s="14" t="n">
        <x:f>M17*'Assumptions'!$B$8</x:f>
        <x:v>0.917640274525671</x:v>
      </x:c>
      <x:c r="O17" s="14" t="n">
        <x:f>N17/'Assumptions'!$B$6</x:f>
        <x:v>0.23359753809938735</x:v>
      </x:c>
      <x:c r="P17" s="14" t="n">
        <x:v>0.712055278563588</x:v>
      </x:c>
      <x:c r="Q17" s="15" t="n">
        <x:v>0.38</x:v>
      </x:c>
      <x:c r="R17" s="14" t="n">
        <x:f>Q17*'Assumptions'!$B$6</x:f>
        <x:v>1.49275248</x:v>
      </x:c>
      <x:c r="S17" s="14" t="n">
        <x:f>N17-R17</x:f>
        <x:v>-0.5751122054743291</x:v>
      </x:c>
      <x:c r="T17" s="14" t="n">
        <x:f>ABS(S17)</x:f>
        <x:v>0.5751122054743291</x:v>
      </x:c>
      <x:c r="U17" s="14" t="n">
        <x:f>O17-Q17</x:f>
        <x:v>-0.14640246190061265</x:v>
      </x:c>
      <x:c r="V17" s="14" t="n">
        <x:f>ABS(U17)</x:f>
        <x:v>0.14640246190061265</x:v>
      </x:c>
      <x:c r="W17" s="17" t="str">
        <x:v>trilinear_world_xyz</x:v>
      </x:c>
      <x:c r="X17" s="17" t="str">
        <x:v>dx=5m smoke run; z=2m lies between ground and z=5m layer</x:v>
      </x:c>
      <x:c r="Y17" s="16" t="n">
        <x:f>IF(Q17=0,"",V17/Q17)</x:f>
        <x:v>0.3852696365805596</x:v>
      </x:c>
    </x:row>
    <x:row r="18">
      <x:c r="A18" s="13" t="n">
        <x:v>17</x:v>
      </x:c>
      <x:c r="B18" s="13" t="str">
        <x:v>ac</x:v>
      </x:c>
      <x:c r="C18" s="13" t="str">
        <x:v>N</x:v>
      </x:c>
      <x:c r="D18" s="14" t="n">
        <x:v>-25</x:v>
      </x:c>
      <x:c r="E18" s="14" t="n">
        <x:v>47</x:v>
      </x:c>
      <x:c r="F18" s="14" t="n">
        <x:v>2</x:v>
      </x:c>
      <x:c r="G18" s="14" t="n">
        <x:v>55</x:v>
      </x:c>
      <x:c r="H18" s="14" t="n">
        <x:v>109.4</x:v>
      </x:c>
      <x:c r="I18" s="14" t="n">
        <x:v>0.4</x:v>
      </x:c>
      <x:c r="J18" s="14" t="n">
        <x:v>55</x:v>
      </x:c>
      <x:c r="K18" s="14" t="n">
        <x:v>109</x:v>
      </x:c>
      <x:c r="L18" s="14" t="n">
        <x:v>0</x:v>
      </x:c>
      <x:c r="M18" s="14" t="n">
        <x:v>0.018456197331924187</x:v>
      </x:c>
      <x:c r="N18" s="14" t="n">
        <x:f>M18*'Assumptions'!$B$8</x:f>
        <x:v>0.7250140615420845</x:v>
      </x:c>
      <x:c r="O18" s="14" t="n">
        <x:f>N18/'Assumptions'!$B$6</x:f>
        <x:v>0.18456197331924185</x:v>
      </x:c>
      <x:c r="P18" s="14" t="n">
        <x:v>0.5626147208923123</x:v>
      </x:c>
      <x:c r="Q18" s="15" t="n">
        <x:v>0.2</x:v>
      </x:c>
      <x:c r="R18" s="14" t="n">
        <x:f>Q18*'Assumptions'!$B$6</x:f>
        <x:v>0.7856592</x:v>
      </x:c>
      <x:c r="S18" s="14" t="n">
        <x:f>N18-R18</x:f>
        <x:v>-0.060645138457915526</x:v>
      </x:c>
      <x:c r="T18" s="14" t="n">
        <x:f>ABS(S18)</x:f>
        <x:v>0.060645138457915526</x:v>
      </x:c>
      <x:c r="U18" s="14" t="n">
        <x:f>O18-Q18</x:f>
        <x:v>-0.015438026680758166</x:v>
      </x:c>
      <x:c r="V18" s="14" t="n">
        <x:f>ABS(U18)</x:f>
        <x:v>0.015438026680758166</x:v>
      </x:c>
      <x:c r="W18" s="17" t="str">
        <x:v>trilinear_world_xyz</x:v>
      </x:c>
      <x:c r="X18" s="17" t="str">
        <x:v>dx=5m smoke run; z=2m lies between ground and z=5m layer</x:v>
      </x:c>
      <x:c r="Y18" s="16" t="n">
        <x:f>IF(Q18=0,"",V18/Q18)</x:f>
        <x:v>0.07719013340379083</x:v>
      </x:c>
    </x:row>
    <x:row r="19">
      <x:c r="A19" s="13" t="n">
        <x:v>18</x:v>
      </x:c>
      <x:c r="B19" s="13" t="str">
        <x:v>ac</x:v>
      </x:c>
      <x:c r="C19" s="13" t="str">
        <x:v>N</x:v>
      </x:c>
      <x:c r="D19" s="14" t="n">
        <x:v>-5</x:v>
      </x:c>
      <x:c r="E19" s="14" t="n">
        <x:v>56</x:v>
      </x:c>
      <x:c r="F19" s="14" t="n">
        <x:v>2</x:v>
      </x:c>
      <x:c r="G19" s="14" t="n">
        <x:v>59</x:v>
      </x:c>
      <x:c r="H19" s="14" t="n">
        <x:v>111.2</x:v>
      </x:c>
      <x:c r="I19" s="14" t="n">
        <x:v>0.4</x:v>
      </x:c>
      <x:c r="J19" s="14" t="n">
        <x:v>59</x:v>
      </x:c>
      <x:c r="K19" s="14" t="n">
        <x:v>111</x:v>
      </x:c>
      <x:c r="L19" s="14" t="n">
        <x:v>0</x:v>
      </x:c>
      <x:c r="M19" s="14" t="n">
        <x:v>0.029378890467178044</x:v>
      </x:c>
      <x:c r="N19" s="14" t="n">
        <x:f>M19*'Assumptions'!$B$8</x:f>
        <x:v>1.1540897790665363</x:v>
      </x:c>
      <x:c r="O19" s="14" t="n">
        <x:f>N19/'Assumptions'!$B$6</x:f>
        <x:v>0.2937889046717804</x:v>
      </x:c>
      <x:c r="P19" s="14" t="n">
        <x:v>0.8214445764240857</x:v>
      </x:c>
      <x:c r="Q19" s="15" t="n">
        <x:v>0.28</x:v>
      </x:c>
      <x:c r="R19" s="14" t="n">
        <x:f>Q19*'Assumptions'!$B$6</x:f>
        <x:v>1.09992288</x:v>
      </x:c>
      <x:c r="S19" s="14" t="n">
        <x:f>N19-R19</x:f>
        <x:v>0.05416689906653627</x:v>
      </x:c>
      <x:c r="T19" s="14" t="n">
        <x:f>ABS(S19)</x:f>
        <x:v>0.05416689906653627</x:v>
      </x:c>
      <x:c r="U19" s="14" t="n">
        <x:f>O19-Q19</x:f>
        <x:v>0.0137889046717804</x:v>
      </x:c>
      <x:c r="V19" s="14" t="n">
        <x:f>ABS(U19)</x:f>
        <x:v>0.0137889046717804</x:v>
      </x:c>
      <x:c r="W19" s="17" t="str">
        <x:v>trilinear_world_xyz</x:v>
      </x:c>
      <x:c r="X19" s="17" t="str">
        <x:v>dx=5m smoke run; z=2m lies between ground and z=5m layer</x:v>
      </x:c>
      <x:c r="Y19" s="16" t="n">
        <x:f>IF(Q19=0,"",V19/Q19)</x:f>
        <x:v>0.049246088113501424</x:v>
      </x:c>
    </x:row>
    <x:row r="20">
      <x:c r="A20" s="13" t="n">
        <x:v>19</x:v>
      </x:c>
      <x:c r="B20" s="13" t="str">
        <x:v>ac</x:v>
      </x:c>
      <x:c r="C20" s="13" t="str">
        <x:v>N</x:v>
      </x:c>
      <x:c r="D20" s="14" t="n">
        <x:v>13.5</x:v>
      </x:c>
      <x:c r="E20" s="14" t="n">
        <x:v>64.5</x:v>
      </x:c>
      <x:c r="F20" s="14" t="n">
        <x:v>2</x:v>
      </x:c>
      <x:c r="G20" s="14" t="n">
        <x:v>62.7</x:v>
      </x:c>
      <x:c r="H20" s="14" t="n">
        <x:v>112.9</x:v>
      </x:c>
      <x:c r="I20" s="14" t="n">
        <x:v>0.4</x:v>
      </x:c>
      <x:c r="J20" s="14" t="n">
        <x:v>63</x:v>
      </x:c>
      <x:c r="K20" s="14" t="n">
        <x:v>113</x:v>
      </x:c>
      <x:c r="L20" s="14" t="n">
        <x:v>0</x:v>
      </x:c>
      <x:c r="M20" s="14" t="n">
        <x:v>0.029216191235953197</x:v>
      </x:c>
      <x:c r="N20" s="14" t="n">
        <x:f>M20*'Assumptions'!$B$8</x:f>
        <x:v>1.1476984716743</x:v>
      </x:c>
      <x:c r="O20" s="14" t="n">
        <x:f>N20/'Assumptions'!$B$6</x:f>
        <x:v>0.292161912359532</x:v>
      </x:c>
      <x:c r="P20" s="14" t="n">
        <x:v>0.8152910561440032</x:v>
      </x:c>
      <x:c r="Q20" s="15" t="n">
        <x:v>0.32</x:v>
      </x:c>
      <x:c r="R20" s="14" t="n">
        <x:f>Q20*'Assumptions'!$B$6</x:f>
        <x:v>1.25705472</x:v>
      </x:c>
      <x:c r="S20" s="14" t="n">
        <x:f>N20-R20</x:f>
        <x:v>-0.10935624832570001</x:v>
      </x:c>
      <x:c r="T20" s="14" t="n">
        <x:f>ABS(S20)</x:f>
        <x:v>0.10935624832570001</x:v>
      </x:c>
      <x:c r="U20" s="14" t="n">
        <x:f>O20-Q20</x:f>
        <x:v>-0.027838087640468023</x:v>
      </x:c>
      <x:c r="V20" s="14" t="n">
        <x:f>ABS(U20)</x:f>
        <x:v>0.027838087640468023</x:v>
      </x:c>
      <x:c r="W20" s="17" t="str">
        <x:v>trilinear_world_xyz</x:v>
      </x:c>
      <x:c r="X20" s="17" t="str">
        <x:v>dx=5m smoke run; z=2m lies between ground and z=5m layer</x:v>
      </x:c>
      <x:c r="Y20" s="16" t="n">
        <x:f>IF(Q20=0,"",V20/Q20)</x:f>
        <x:v>0.08699402387646257</x:v>
      </x:c>
    </x:row>
    <x:row r="21">
      <x:c r="A21" s="13" t="n">
        <x:v>20</x:v>
      </x:c>
      <x:c r="B21" s="13" t="str">
        <x:v>ac</x:v>
      </x:c>
      <x:c r="C21" s="13" t="str">
        <x:v>N</x:v>
      </x:c>
      <x:c r="D21" s="14" t="n">
        <x:v>50</x:v>
      </x:c>
      <x:c r="E21" s="14" t="n">
        <x:v>81.5</x:v>
      </x:c>
      <x:c r="F21" s="14" t="n">
        <x:v>2</x:v>
      </x:c>
      <x:c r="G21" s="14" t="n">
        <x:v>70</x:v>
      </x:c>
      <x:c r="H21" s="14" t="n">
        <x:v>116.3</x:v>
      </x:c>
      <x:c r="I21" s="14" t="n">
        <x:v>0.4</x:v>
      </x:c>
      <x:c r="J21" s="14" t="n">
        <x:v>70</x:v>
      </x:c>
      <x:c r="K21" s="14" t="n">
        <x:v>116</x:v>
      </x:c>
      <x:c r="L21" s="14" t="n">
        <x:v>0</x:v>
      </x:c>
      <x:c r="M21" s="14" t="n">
        <x:v>0.029587179569514913</x:v>
      </x:c>
      <x:c r="N21" s="14" t="n">
        <x:f>M21*'Assumptions'!$B$8</x:f>
        <x:v>1.1622719915420714</x:v>
      </x:c>
      <x:c r="O21" s="14" t="n">
        <x:f>N21/'Assumptions'!$B$6</x:f>
        <x:v>0.2958717956951491</x:v>
      </x:c>
      <x:c r="P21" s="14" t="n">
        <x:v>0.8168609204982094</x:v>
      </x:c>
      <x:c r="Q21" s="15" t="n">
        <x:v>0.2</x:v>
      </x:c>
      <x:c r="R21" s="14" t="n">
        <x:f>Q21*'Assumptions'!$B$6</x:f>
        <x:v>0.7856592</x:v>
      </x:c>
      <x:c r="S21" s="14" t="n">
        <x:f>N21-R21</x:f>
        <x:v>0.3766127915420714</x:v>
      </x:c>
      <x:c r="T21" s="14" t="n">
        <x:f>ABS(S21)</x:f>
        <x:v>0.3766127915420714</x:v>
      </x:c>
      <x:c r="U21" s="14" t="n">
        <x:f>O21-Q21</x:f>
        <x:v>0.09587179569514909</x:v>
      </x:c>
      <x:c r="V21" s="14" t="n">
        <x:f>ABS(U21)</x:f>
        <x:v>0.09587179569514909</x:v>
      </x:c>
      <x:c r="W21" s="17" t="str">
        <x:v>trilinear_world_xyz</x:v>
      </x:c>
      <x:c r="X21" s="17" t="str">
        <x:v>dx=5m smoke run; z=2m lies between ground and z=5m layer</x:v>
      </x:c>
      <x:c r="Y21" s="16" t="n">
        <x:f>IF(Q21=0,"",V21/Q21)</x:f>
        <x:v>0.47935897847574543</x:v>
      </x:c>
    </x:row>
    <x:row r="22">
      <x:c r="A22" s="13" t="n">
        <x:v>21</x:v>
      </x:c>
      <x:c r="B22" s="13" t="str">
        <x:v>ac</x:v>
      </x:c>
      <x:c r="C22" s="13" t="str">
        <x:v>N</x:v>
      </x:c>
      <x:c r="D22" s="14" t="n">
        <x:v>87</x:v>
      </x:c>
      <x:c r="E22" s="14" t="n">
        <x:v>97.5</x:v>
      </x:c>
      <x:c r="F22" s="14" t="n">
        <x:v>2</x:v>
      </x:c>
      <x:c r="G22" s="14" t="n">
        <x:v>77.4</x:v>
      </x:c>
      <x:c r="H22" s="14" t="n">
        <x:v>119.5</x:v>
      </x:c>
      <x:c r="I22" s="14" t="n">
        <x:v>0.4</x:v>
      </x:c>
      <x:c r="J22" s="14" t="n">
        <x:v>77</x:v>
      </x:c>
      <x:c r="K22" s="14" t="n">
        <x:v>120</x:v>
      </x:c>
      <x:c r="L22" s="14" t="n">
        <x:v>0</x:v>
      </x:c>
      <x:c r="M22" s="14" t="n">
        <x:v>0.029905162980760902</x:v>
      </x:c>
      <x:c r="N22" s="14" t="n">
        <x:f>M22*'Assumptions'!$B$8</x:f>
        <x:v>1.1747633211667112</x:v>
      </x:c>
      <x:c r="O22" s="14" t="n">
        <x:f>N22/'Assumptions'!$B$6</x:f>
        <x:v>0.299051629807609</x:v>
      </x:c>
      <x:c r="P22" s="14" t="n">
        <x:v>0.8193088427893237</x:v>
      </x:c>
      <x:c r="Q22" s="15" t="n">
        <x:v>0.4</x:v>
      </x:c>
      <x:c r="R22" s="14" t="n">
        <x:f>Q22*'Assumptions'!$B$6</x:f>
        <x:v>1.5713184</x:v>
      </x:c>
      <x:c r="S22" s="14" t="n">
        <x:f>N22-R22</x:f>
        <x:v>-0.3965550788332888</x:v>
      </x:c>
      <x:c r="T22" s="14" t="n">
        <x:f>ABS(S22)</x:f>
        <x:v>0.3965550788332888</x:v>
      </x:c>
      <x:c r="U22" s="14" t="n">
        <x:f>O22-Q22</x:f>
        <x:v>-0.100948370192391</x:v>
      </x:c>
      <x:c r="V22" s="14" t="n">
        <x:f>ABS(U22)</x:f>
        <x:v>0.100948370192391</x:v>
      </x:c>
      <x:c r="W22" s="17" t="str">
        <x:v>trilinear_world_xyz</x:v>
      </x:c>
      <x:c r="X22" s="17" t="str">
        <x:v>dx=5m smoke run; z=2m lies between ground and z=5m layer</x:v>
      </x:c>
      <x:c r="Y22" s="16" t="n">
        <x:f>IF(Q22=0,"",V22/Q22)</x:f>
        <x:v>0.2523709254809775</x:v>
      </x:c>
    </x:row>
    <x:row r="23">
      <x:c r="A23" s="13" t="n">
        <x:v>22</x:v>
      </x:c>
      <x:c r="B23" s="13" t="str">
        <x:v>ac</x:v>
      </x:c>
      <x:c r="C23" s="13" t="str">
        <x:v>N</x:v>
      </x:c>
      <x:c r="D23" s="14" t="n">
        <x:v>-114.5</x:v>
      </x:c>
      <x:c r="E23" s="14" t="n">
        <x:v>-8</x:v>
      </x:c>
      <x:c r="F23" s="14" t="n">
        <x:v>2</x:v>
      </x:c>
      <x:c r="G23" s="14" t="n">
        <x:v>37.1</x:v>
      </x:c>
      <x:c r="H23" s="14" t="n">
        <x:v>98.4</x:v>
      </x:c>
      <x:c r="I23" s="14" t="n">
        <x:v>0.4</x:v>
      </x:c>
      <x:c r="J23" s="14" t="n">
        <x:v>37</x:v>
      </x:c>
      <x:c r="K23" s="14" t="n">
        <x:v>98</x:v>
      </x:c>
      <x:c r="L23" s="14" t="n">
        <x:v>0</x:v>
      </x:c>
      <x:c r="M23" s="14" t="n">
        <x:v>0.011483871339914858</x:v>
      </x:c>
      <x:c r="N23" s="14" t="n">
        <x:f>M23*'Assumptions'!$B$8</x:f>
        <x:v>0.4511204584910217</x:v>
      </x:c>
      <x:c r="O23" s="14" t="n">
        <x:f>N23/'Assumptions'!$B$6</x:f>
        <x:v>0.11483871339914857</x:v>
      </x:c>
      <x:c r="P23" s="14" t="n">
        <x:v>0.5357141184798534</x:v>
      </x:c>
      <x:c r="Q23" s="15" t="n">
        <x:v>0.59</x:v>
      </x:c>
      <x:c r="R23" s="14" t="n">
        <x:f>Q23*'Assumptions'!$B$6</x:f>
        <x:v>2.31769464</x:v>
      </x:c>
      <x:c r="S23" s="14" t="n">
        <x:f>N23-R23</x:f>
        <x:v>-1.8665741815089782</x:v>
      </x:c>
      <x:c r="T23" s="14" t="n">
        <x:f>ABS(S23)</x:f>
        <x:v>1.8665741815089782</x:v>
      </x:c>
      <x:c r="U23" s="14" t="n">
        <x:f>O23-Q23</x:f>
        <x:v>-0.4751612866008514</x:v>
      </x:c>
      <x:c r="V23" s="14" t="n">
        <x:f>ABS(U23)</x:f>
        <x:v>0.4751612866008514</x:v>
      </x:c>
      <x:c r="W23" s="17" t="str">
        <x:v>trilinear_world_xyz</x:v>
      </x:c>
      <x:c r="X23" s="17" t="str">
        <x:v>dx=5m smoke run; z=2m lies between ground and z=5m layer</x:v>
      </x:c>
      <x:c r="Y23" s="16" t="n">
        <x:f>IF(Q23=0,"",V23/Q23)</x:f>
        <x:v>0.805358112882799</x:v>
      </x:c>
    </x:row>
    <x:row r="24">
      <x:c r="A24" s="13" t="n">
        <x:v>23</x:v>
      </x:c>
      <x:c r="B24" s="13" t="str">
        <x:v>ac</x:v>
      </x:c>
      <x:c r="C24" s="13" t="str">
        <x:v>N</x:v>
      </x:c>
      <x:c r="D24" s="14" t="n">
        <x:v>-90.5</x:v>
      </x:c>
      <x:c r="E24" s="14" t="n">
        <x:v>8</x:v>
      </x:c>
      <x:c r="F24" s="14" t="n">
        <x:v>2</x:v>
      </x:c>
      <x:c r="G24" s="14" t="n">
        <x:v>41.9</x:v>
      </x:c>
      <x:c r="H24" s="14" t="n">
        <x:v>101.6</x:v>
      </x:c>
      <x:c r="I24" s="14" t="n">
        <x:v>0.4</x:v>
      </x:c>
      <x:c r="J24" s="14" t="n">
        <x:v>42</x:v>
      </x:c>
      <x:c r="K24" s="14" t="n">
        <x:v>102</x:v>
      </x:c>
      <x:c r="L24" s="14" t="n">
        <x:v>0</x:v>
      </x:c>
      <x:c r="M24" s="14" t="n">
        <x:v>0</x:v>
      </x:c>
      <x:c r="N24" s="14" t="n">
        <x:f>M24*'Assumptions'!$B$8</x:f>
        <x:v>0</x:v>
      </x:c>
      <x:c r="O24" s="14" t="n">
        <x:f>N24/'Assumptions'!$B$6</x:f>
        <x:v>0</x:v>
      </x:c>
      <x:c r="P24" s="14" t="n">
        <x:v>0</x:v>
      </x:c>
      <x:c r="Q24" s="15" t="n">
        <x:v>0.54</x:v>
      </x:c>
      <x:c r="R24" s="14" t="n">
        <x:f>Q24*'Assumptions'!$B$6</x:f>
        <x:v>2.12127984</x:v>
      </x:c>
      <x:c r="S24" s="14" t="n">
        <x:f>N24-R24</x:f>
        <x:v>-2.12127984</x:v>
      </x:c>
      <x:c r="T24" s="14" t="n">
        <x:f>ABS(S24)</x:f>
        <x:v>2.12127984</x:v>
      </x:c>
      <x:c r="U24" s="14" t="n">
        <x:f>O24-Q24</x:f>
        <x:v>-0.54</x:v>
      </x:c>
      <x:c r="V24" s="14" t="n">
        <x:f>ABS(U24)</x:f>
        <x:v>0.54</x:v>
      </x:c>
      <x:c r="W24" s="17" t="str">
        <x:v>trilinear_world_xyz</x:v>
      </x:c>
      <x:c r="X24" s="17" t="str">
        <x:v>dx=5m smoke run; z=2m lies between ground and z=5m layer</x:v>
      </x:c>
      <x:c r="Y24" s="16" t="n">
        <x:f>IF(Q24=0,"",V24/Q24)</x:f>
        <x:v>1</x:v>
      </x:c>
    </x:row>
    <x:row r="25">
      <x:c r="A25" s="13" t="n">
        <x:v>24</x:v>
      </x:c>
      <x:c r="B25" s="13" t="str">
        <x:v>ac</x:v>
      </x:c>
      <x:c r="C25" s="13" t="str">
        <x:v>N</x:v>
      </x:c>
      <x:c r="D25" s="14" t="n">
        <x:v>-56</x:v>
      </x:c>
      <x:c r="E25" s="14" t="n">
        <x:v>33</x:v>
      </x:c>
      <x:c r="F25" s="14" t="n">
        <x:v>2</x:v>
      </x:c>
      <x:c r="G25" s="14" t="n">
        <x:v>48.8</x:v>
      </x:c>
      <x:c r="H25" s="14" t="n">
        <x:v>106.6</x:v>
      </x:c>
      <x:c r="I25" s="14" t="n">
        <x:v>0.4</x:v>
      </x:c>
      <x:c r="J25" s="14" t="n">
        <x:v>49</x:v>
      </x:c>
      <x:c r="K25" s="14" t="n">
        <x:v>107</x:v>
      </x:c>
      <x:c r="L25" s="14" t="n">
        <x:v>0</x:v>
      </x:c>
      <x:c r="M25" s="14" t="n">
        <x:v>0.027069883425915115</x:v>
      </x:c>
      <x:c r="N25" s="14" t="n">
        <x:f>M25*'Assumptions'!$B$8</x:f>
        <x:v>1.0633851478248864</x:v>
      </x:c>
      <x:c r="O25" s="14" t="n">
        <x:f>N25/'Assumptions'!$B$6</x:f>
        <x:v>0.27069883425915114</x:v>
      </x:c>
      <x:c r="P25" s="14" t="n">
        <x:v>0.7662201593426171</x:v>
      </x:c>
      <x:c r="Q25" s="15" t="n">
        <x:v>0.46</x:v>
      </x:c>
      <x:c r="R25" s="14" t="n">
        <x:f>Q25*'Assumptions'!$B$6</x:f>
        <x:v>1.80701616</x:v>
      </x:c>
      <x:c r="S25" s="14" t="n">
        <x:f>N25-R25</x:f>
        <x:v>-0.7436310121751137</x:v>
      </x:c>
      <x:c r="T25" s="14" t="n">
        <x:f>ABS(S25)</x:f>
        <x:v>0.7436310121751137</x:v>
      </x:c>
      <x:c r="U25" s="14" t="n">
        <x:f>O25-Q25</x:f>
        <x:v>-0.18930116574084888</x:v>
      </x:c>
      <x:c r="V25" s="14" t="n">
        <x:f>ABS(U25)</x:f>
        <x:v>0.18930116574084888</x:v>
      </x:c>
      <x:c r="W25" s="17" t="str">
        <x:v>trilinear_world_xyz</x:v>
      </x:c>
      <x:c r="X25" s="17" t="str">
        <x:v>dx=5m smoke run; z=2m lies between ground and z=5m layer</x:v>
      </x:c>
      <x:c r="Y25" s="16" t="n">
        <x:f>IF(Q25=0,"",V25/Q25)</x:f>
        <x:v>0.41152427334967145</x:v>
      </x:c>
    </x:row>
    <x:row r="26">
      <x:c r="A26" s="13" t="n">
        <x:v>25</x:v>
      </x:c>
      <x:c r="B26" s="13" t="str">
        <x:v>ac</x:v>
      </x:c>
      <x:c r="C26" s="13" t="str">
        <x:v>N</x:v>
      </x:c>
      <x:c r="D26" s="14" t="n">
        <x:v>-51</x:v>
      </x:c>
      <x:c r="E26" s="14" t="n">
        <x:v>22</x:v>
      </x:c>
      <x:c r="F26" s="14" t="n">
        <x:v>2</x:v>
      </x:c>
      <x:c r="G26" s="14" t="n">
        <x:v>49.8</x:v>
      </x:c>
      <x:c r="H26" s="14" t="n">
        <x:v>104.4</x:v>
      </x:c>
      <x:c r="I26" s="14" t="n">
        <x:v>0.4</x:v>
      </x:c>
      <x:c r="J26" s="14" t="n">
        <x:v>50</x:v>
      </x:c>
      <x:c r="K26" s="14" t="n">
        <x:v>104</x:v>
      </x:c>
      <x:c r="L26" s="14" t="n">
        <x:v>0</x:v>
      </x:c>
      <x:c r="M26" s="14" t="n">
        <x:v>0.027782317824485685</x:v>
      </x:c>
      <x:c r="N26" s="14" t="n">
        <x:f>M26*'Assumptions'!$B$8</x:f>
        <x:v>1.091371679806558</x:v>
      </x:c>
      <x:c r="O26" s="14" t="n">
        <x:f>N26/'Assumptions'!$B$6</x:f>
        <x:v>0.2778231782448568</x:v>
      </x:c>
      <x:c r="P26" s="14" t="n">
        <x:v>0.8032570732699782</x:v>
      </x:c>
      <x:c r="Q26" s="15" t="n">
        <x:v>0.52</x:v>
      </x:c>
      <x:c r="R26" s="14" t="n">
        <x:f>Q26*'Assumptions'!$B$6</x:f>
        <x:v>2.04271392</x:v>
      </x:c>
      <x:c r="S26" s="14" t="n">
        <x:f>N26-R26</x:f>
        <x:v>-0.9513422401934422</x:v>
      </x:c>
      <x:c r="T26" s="14" t="n">
        <x:f>ABS(S26)</x:f>
        <x:v>0.9513422401934422</x:v>
      </x:c>
      <x:c r="U26" s="14" t="n">
        <x:f>O26-Q26</x:f>
        <x:v>-0.2421768217551432</x:v>
      </x:c>
      <x:c r="V26" s="14" t="n">
        <x:f>ABS(U26)</x:f>
        <x:v>0.2421768217551432</x:v>
      </x:c>
      <x:c r="W26" s="17" t="str">
        <x:v>trilinear_world_xyz</x:v>
      </x:c>
      <x:c r="X26" s="17" t="str">
        <x:v>dx=5m smoke run; z=2m lies between ground and z=5m layer</x:v>
      </x:c>
      <x:c r="Y26" s="16" t="n">
        <x:f>IF(Q26=0,"",V26/Q26)</x:f>
        <x:v>0.46572465722142925</x:v>
      </x:c>
    </x:row>
    <x:row r="27">
      <x:c r="A27" s="13" t="n">
        <x:v>26</x:v>
      </x:c>
      <x:c r="B27" s="13" t="str">
        <x:v>ac</x:v>
      </x:c>
      <x:c r="C27" s="13" t="str">
        <x:v>N</x:v>
      </x:c>
      <x:c r="D27" s="14" t="n">
        <x:v>-46.5</x:v>
      </x:c>
      <x:c r="E27" s="14" t="n">
        <x:v>11</x:v>
      </x:c>
      <x:c r="F27" s="14" t="n">
        <x:v>2</x:v>
      </x:c>
      <x:c r="G27" s="14" t="n">
        <x:v>50.7</x:v>
      </x:c>
      <x:c r="H27" s="14" t="n">
        <x:v>102.2</x:v>
      </x:c>
      <x:c r="I27" s="14" t="n">
        <x:v>0.4</x:v>
      </x:c>
      <x:c r="J27" s="14" t="n">
        <x:v>51</x:v>
      </x:c>
      <x:c r="K27" s="14" t="n">
        <x:v>102</x:v>
      </x:c>
      <x:c r="L27" s="14" t="n">
        <x:v>0</x:v>
      </x:c>
      <x:c r="M27" s="14" t="n">
        <x:v>0.028832953632384598</x:v>
      </x:c>
      <x:c r="N27" s="14" t="n">
        <x:f>M27*'Assumptions'!$B$8</x:f>
        <x:v>1.1326437642228186</x:v>
      </x:c>
      <x:c r="O27" s="14" t="n">
        <x:f>N27/'Assumptions'!$B$6</x:f>
        <x:v>0.28832953632384595</x:v>
      </x:c>
      <x:c r="P27" s="14" t="n">
        <x:v>0.821857545290295</x:v>
      </x:c>
      <x:c r="Q27" s="15" t="n">
        <x:v>0.55</x:v>
      </x:c>
      <x:c r="R27" s="14" t="n">
        <x:f>Q27*'Assumptions'!$B$6</x:f>
        <x:v>2.1605628</x:v>
      </x:c>
      <x:c r="S27" s="14" t="n">
        <x:f>N27-R27</x:f>
        <x:v>-1.0279190357771815</x:v>
      </x:c>
      <x:c r="T27" s="14" t="n">
        <x:f>ABS(S27)</x:f>
        <x:v>1.0279190357771815</x:v>
      </x:c>
      <x:c r="U27" s="14" t="n">
        <x:f>O27-Q27</x:f>
        <x:v>-0.2616704636761541</x:v>
      </x:c>
      <x:c r="V27" s="14" t="n">
        <x:f>ABS(U27)</x:f>
        <x:v>0.2616704636761541</x:v>
      </x:c>
      <x:c r="W27" s="17" t="str">
        <x:v>trilinear_world_xyz</x:v>
      </x:c>
      <x:c r="X27" s="17" t="str">
        <x:v>dx=5m smoke run; z=2m lies between ground and z=5m layer</x:v>
      </x:c>
      <x:c r="Y27" s="16" t="n">
        <x:f>IF(Q27=0,"",V27/Q27)</x:f>
        <x:v>0.4757644794111892</x:v>
      </x:c>
    </x:row>
    <x:row r="28">
      <x:c r="A28" s="13" t="n">
        <x:v>27</x:v>
      </x:c>
      <x:c r="B28" s="13" t="str">
        <x:v>ac</x:v>
      </x:c>
      <x:c r="C28" s="13" t="str">
        <x:v>N</x:v>
      </x:c>
      <x:c r="D28" s="14" t="n">
        <x:v>-39</x:v>
      </x:c>
      <x:c r="E28" s="14" t="n">
        <x:v>16</x:v>
      </x:c>
      <x:c r="F28" s="14" t="n">
        <x:v>2</x:v>
      </x:c>
      <x:c r="G28" s="14" t="n">
        <x:v>52.2</x:v>
      </x:c>
      <x:c r="H28" s="14" t="n">
        <x:v>103.2</x:v>
      </x:c>
      <x:c r="I28" s="14" t="n">
        <x:v>0.4</x:v>
      </x:c>
      <x:c r="J28" s="14" t="n">
        <x:v>52</x:v>
      </x:c>
      <x:c r="K28" s="14" t="n">
        <x:v>103</x:v>
      </x:c>
      <x:c r="L28" s="14" t="n">
        <x:v>0</x:v>
      </x:c>
      <x:c r="M28" s="14" t="n">
        <x:v>0.026715845326190386</x:v>
      </x:c>
      <x:c r="N28" s="14" t="n">
        <x:f>M28*'Assumptions'!$B$8</x:f>
        <x:v>1.0494774833149239</x:v>
      </x:c>
      <x:c r="O28" s="14" t="n">
        <x:f>N28/'Assumptions'!$B$6</x:f>
        <x:v>0.26715845326190385</x:v>
      </x:c>
      <x:c r="P28" s="14" t="n">
        <x:v>0.7826345482899956</x:v>
      </x:c>
      <x:c r="Q28" s="15" t="n">
        <x:v>0.48</x:v>
      </x:c>
      <x:c r="R28" s="14" t="n">
        <x:f>Q28*'Assumptions'!$B$6</x:f>
        <x:v>1.8855820799999998</x:v>
      </x:c>
      <x:c r="S28" s="14" t="n">
        <x:f>N28-R28</x:f>
        <x:v>-0.836104596685076</x:v>
      </x:c>
      <x:c r="T28" s="14" t="n">
        <x:f>ABS(S28)</x:f>
        <x:v>0.836104596685076</x:v>
      </x:c>
      <x:c r="U28" s="14" t="n">
        <x:f>O28-Q28</x:f>
        <x:v>-0.21284154673809613</x:v>
      </x:c>
      <x:c r="V28" s="14" t="n">
        <x:f>ABS(U28)</x:f>
        <x:v>0.21284154673809613</x:v>
      </x:c>
      <x:c r="W28" s="17" t="str">
        <x:v>trilinear_world_xyz</x:v>
      </x:c>
      <x:c r="X28" s="17" t="str">
        <x:v>dx=5m smoke run; z=2m lies between ground and z=5m layer</x:v>
      </x:c>
      <x:c r="Y28" s="16" t="n">
        <x:f>IF(Q28=0,"",V28/Q28)</x:f>
        <x:v>0.4434198890377003</x:v>
      </x:c>
    </x:row>
    <x:row r="29">
      <x:c r="A29" s="13" t="n">
        <x:v>28</x:v>
      </x:c>
      <x:c r="B29" s="13" t="str">
        <x:v>ac</x:v>
      </x:c>
      <x:c r="C29" s="13" t="str">
        <x:v>N</x:v>
      </x:c>
      <x:c r="D29" s="14" t="n">
        <x:v>-39.5</x:v>
      </x:c>
      <x:c r="E29" s="14" t="n">
        <x:v>-4</x:v>
      </x:c>
      <x:c r="F29" s="14" t="n">
        <x:v>2</x:v>
      </x:c>
      <x:c r="G29" s="14" t="n">
        <x:v>52.1</x:v>
      </x:c>
      <x:c r="H29" s="14" t="n">
        <x:v>99.2</x:v>
      </x:c>
      <x:c r="I29" s="14" t="n">
        <x:v>0.4</x:v>
      </x:c>
      <x:c r="J29" s="14" t="n">
        <x:v>52</x:v>
      </x:c>
      <x:c r="K29" s="14" t="n">
        <x:v>99</x:v>
      </x:c>
      <x:c r="L29" s="14" t="n">
        <x:v>0</x:v>
      </x:c>
      <x:c r="M29" s="14" t="n">
        <x:v>0.02940274324225655</x:v>
      </x:c>
      <x:c r="N29" s="14" t="n">
        <x:f>M29*'Assumptions'!$B$8</x:f>
        <x:v>1.1550267866758341</x:v>
      </x:c>
      <x:c r="O29" s="14" t="n">
        <x:f>N29/'Assumptions'!$B$6</x:f>
        <x:v>0.29402743242256546</x:v>
      </x:c>
      <x:c r="P29" s="14" t="n">
        <x:v>0.8463305578171567</x:v>
      </x:c>
      <x:c r="Q29" s="15" t="n">
        <x:v>0.71</x:v>
      </x:c>
      <x:c r="R29" s="14" t="n">
        <x:f>Q29*'Assumptions'!$B$6</x:f>
        <x:v>2.7890901599999998</x:v>
      </x:c>
      <x:c r="S29" s="14" t="n">
        <x:f>N29-R29</x:f>
        <x:v>-1.6340633733241656</x:v>
      </x:c>
      <x:c r="T29" s="14" t="n">
        <x:f>ABS(S29)</x:f>
        <x:v>1.6340633733241656</x:v>
      </x:c>
      <x:c r="U29" s="14" t="n">
        <x:f>O29-Q29</x:f>
        <x:v>-0.4159725675774345</x:v>
      </x:c>
      <x:c r="V29" s="14" t="n">
        <x:f>ABS(U29)</x:f>
        <x:v>0.4159725675774345</x:v>
      </x:c>
      <x:c r="W29" s="17" t="str">
        <x:v>trilinear_world_xyz</x:v>
      </x:c>
      <x:c r="X29" s="17" t="str">
        <x:v>dx=5m smoke run; z=2m lies between ground and z=5m layer</x:v>
      </x:c>
      <x:c r="Y29" s="16" t="n">
        <x:f>IF(Q29=0,"",V29/Q29)</x:f>
        <x:v>0.5858768557428655</x:v>
      </x:c>
    </x:row>
    <x:row r="30">
      <x:c r="A30" s="13" t="n">
        <x:v>29</x:v>
      </x:c>
      <x:c r="B30" s="13" t="str">
        <x:v>ac</x:v>
      </x:c>
      <x:c r="C30" s="13" t="str">
        <x:v>N</x:v>
      </x:c>
      <x:c r="D30" s="14" t="n">
        <x:v>-32</x:v>
      </x:c>
      <x:c r="E30" s="14" t="n">
        <x:v>0</x:v>
      </x:c>
      <x:c r="F30" s="14" t="n">
        <x:v>2</x:v>
      </x:c>
      <x:c r="G30" s="14" t="n">
        <x:v>53.6</x:v>
      </x:c>
      <x:c r="H30" s="14" t="n">
        <x:v>100</x:v>
      </x:c>
      <x:c r="I30" s="14" t="n">
        <x:v>0.4</x:v>
      </x:c>
      <x:c r="J30" s="14" t="n">
        <x:v>54</x:v>
      </x:c>
      <x:c r="K30" s="14" t="n">
        <x:v>100</x:v>
      </x:c>
      <x:c r="L30" s="14" t="n">
        <x:v>0</x:v>
      </x:c>
      <x:c r="M30" s="14" t="n">
        <x:v>0.028157747912077865</x:v>
      </x:c>
      <x:c r="N30" s="14" t="n">
        <x:f>M30*'Assumptions'!$B$8</x:f>
        <x:v>1.1061196849202382</x:v>
      </x:c>
      <x:c r="O30" s="14" t="n">
        <x:f>N30/'Assumptions'!$B$6</x:f>
        <x:v>0.28157747912077863</x:v>
      </x:c>
      <x:c r="P30" s="14" t="n">
        <x:v>0.8058526570631143</x:v>
      </x:c>
      <x:c r="Q30" s="15" t="n">
        <x:v>0.61</x:v>
      </x:c>
      <x:c r="R30" s="14" t="n">
        <x:f>Q30*'Assumptions'!$B$6</x:f>
        <x:v>2.39626056</x:v>
      </x:c>
      <x:c r="S30" s="14" t="n">
        <x:f>N30-R30</x:f>
        <x:v>-1.2901408750797618</x:v>
      </x:c>
      <x:c r="T30" s="14" t="n">
        <x:f>ABS(S30)</x:f>
        <x:v>1.2901408750797618</x:v>
      </x:c>
      <x:c r="U30" s="14" t="n">
        <x:f>O30-Q30</x:f>
        <x:v>-0.32842252087922136</x:v>
      </x:c>
      <x:c r="V30" s="14" t="n">
        <x:f>ABS(U30)</x:f>
        <x:v>0.32842252087922136</x:v>
      </x:c>
      <x:c r="W30" s="17" t="str">
        <x:v>trilinear_world_xyz</x:v>
      </x:c>
      <x:c r="X30" s="17" t="str">
        <x:v>dx=5m smoke run; z=2m lies between ground and z=5m layer</x:v>
      </x:c>
      <x:c r="Y30" s="16" t="n">
        <x:f>IF(Q30=0,"",V30/Q30)</x:f>
        <x:v>0.5383975752118383</x:v>
      </x:c>
    </x:row>
    <x:row r="31">
      <x:c r="A31" s="13" t="n">
        <x:v>30</x:v>
      </x:c>
      <x:c r="B31" s="13" t="str">
        <x:v>ac</x:v>
      </x:c>
      <x:c r="C31" s="13" t="str">
        <x:v>N</x:v>
      </x:c>
      <x:c r="D31" s="14" t="n">
        <x:v>-39</x:v>
      </x:c>
      <x:c r="E31" s="14" t="n">
        <x:v>-11</x:v>
      </x:c>
      <x:c r="F31" s="14" t="n">
        <x:v>2</x:v>
      </x:c>
      <x:c r="G31" s="14" t="n">
        <x:v>52.2</x:v>
      </x:c>
      <x:c r="H31" s="14" t="n">
        <x:v>97.8</x:v>
      </x:c>
      <x:c r="I31" s="14" t="n">
        <x:v>0.4</x:v>
      </x:c>
      <x:c r="J31" s="14" t="n">
        <x:v>52</x:v>
      </x:c>
      <x:c r="K31" s="14" t="n">
        <x:v>98</x:v>
      </x:c>
      <x:c r="L31" s="14" t="n">
        <x:v>0</x:v>
      </x:c>
      <x:c r="M31" s="14" t="n">
        <x:v>0.029708118670471757</x:v>
      </x:c>
      <x:c r="N31" s="14" t="n">
        <x:f>M31*'Assumptions'!$B$8</x:f>
        <x:v>1.167022837407395</x:v>
      </x:c>
      <x:c r="O31" s="14" t="n">
        <x:f>N31/'Assumptions'!$B$6</x:f>
        <x:v>0.2970811867047175</x:v>
      </x:c>
      <x:c r="P31" s="14" t="n">
        <x:v>0.851649432524003</x:v>
      </x:c>
      <x:c r="Q31" s="15" t="n">
        <x:v>0.69</x:v>
      </x:c>
      <x:c r="R31" s="14" t="n">
        <x:f>Q31*'Assumptions'!$B$6</x:f>
        <x:v>2.71052424</x:v>
      </x:c>
      <x:c r="S31" s="14" t="n">
        <x:f>N31-R31</x:f>
        <x:v>-1.5435014025926048</x:v>
      </x:c>
      <x:c r="T31" s="14" t="n">
        <x:f>ABS(S31)</x:f>
        <x:v>1.5435014025926048</x:v>
      </x:c>
      <x:c r="U31" s="14" t="n">
        <x:f>O31-Q31</x:f>
        <x:v>-0.39291881329528244</x:v>
      </x:c>
      <x:c r="V31" s="14" t="n">
        <x:f>ABS(U31)</x:f>
        <x:v>0.39291881329528244</x:v>
      </x:c>
      <x:c r="W31" s="17" t="str">
        <x:v>trilinear_world_xyz</x:v>
      </x:c>
      <x:c r="X31" s="17" t="str">
        <x:v>dx=5m smoke run; z=2m lies between ground and z=5m layer</x:v>
      </x:c>
      <x:c r="Y31" s="16" t="n">
        <x:f>IF(Q31=0,"",V31/Q31)</x:f>
        <x:v>0.5694475555004094</x:v>
      </x:c>
    </x:row>
    <x:row r="32">
      <x:c r="A32" s="13" t="n">
        <x:v>31</x:v>
      </x:c>
      <x:c r="B32" s="13" t="str">
        <x:v>ac</x:v>
      </x:c>
      <x:c r="C32" s="13" t="str">
        <x:v>N</x:v>
      </x:c>
      <x:c r="D32" s="14" t="n">
        <x:v>6.5</x:v>
      </x:c>
      <x:c r="E32" s="14" t="n">
        <x:v>52</x:v>
      </x:c>
      <x:c r="F32" s="14" t="n">
        <x:v>2</x:v>
      </x:c>
      <x:c r="G32" s="14" t="n">
        <x:v>61.3</x:v>
      </x:c>
      <x:c r="H32" s="14" t="n">
        <x:v>110.4</x:v>
      </x:c>
      <x:c r="I32" s="14" t="n">
        <x:v>0.4</x:v>
      </x:c>
      <x:c r="J32" s="14" t="n">
        <x:v>61</x:v>
      </x:c>
      <x:c r="K32" s="14" t="n">
        <x:v>110</x:v>
      </x:c>
      <x:c r="L32" s="14" t="n">
        <x:v>0</x:v>
      </x:c>
      <x:c r="M32" s="14" t="n">
        <x:v>0.029207775726699556</x:v>
      </x:c>
      <x:c r="N32" s="14" t="n">
        <x:f>M32*'Assumptions'!$B$8</x:f>
        <x:v>1.1473678855609095</x:v>
      </x:c>
      <x:c r="O32" s="14" t="n">
        <x:f>N32/'Assumptions'!$B$6</x:f>
        <x:v>0.29207775726699553</x:v>
      </x:c>
      <x:c r="P32" s="14" t="n">
        <x:v>0.8192734705548131</x:v>
      </x:c>
      <x:c r="Q32" s="15" t="n">
        <x:v>0.44</x:v>
      </x:c>
      <x:c r="R32" s="14" t="n">
        <x:f>Q32*'Assumptions'!$B$6</x:f>
        <x:v>1.72845024</x:v>
      </x:c>
      <x:c r="S32" s="14" t="n">
        <x:f>N32-R32</x:f>
        <x:v>-0.5810823544390904</x:v>
      </x:c>
      <x:c r="T32" s="14" t="n">
        <x:f>ABS(S32)</x:f>
        <x:v>0.5810823544390904</x:v>
      </x:c>
      <x:c r="U32" s="14" t="n">
        <x:f>O32-Q32</x:f>
        <x:v>-0.14792224273300447</x:v>
      </x:c>
      <x:c r="V32" s="14" t="n">
        <x:f>ABS(U32)</x:f>
        <x:v>0.14792224273300447</x:v>
      </x:c>
      <x:c r="W32" s="17" t="str">
        <x:v>trilinear_world_xyz</x:v>
      </x:c>
      <x:c r="X32" s="17" t="str">
        <x:v>dx=5m smoke run; z=2m lies between ground and z=5m layer</x:v>
      </x:c>
      <x:c r="Y32" s="16" t="n">
        <x:f>IF(Q32=0,"",V32/Q32)</x:f>
        <x:v>0.3361869153022829</x:v>
      </x:c>
    </x:row>
    <x:row r="33">
      <x:c r="A33" s="13" t="n">
        <x:v>32</x:v>
      </x:c>
      <x:c r="B33" s="13" t="str">
        <x:v>ac</x:v>
      </x:c>
      <x:c r="C33" s="13" t="str">
        <x:v>N</x:v>
      </x:c>
      <x:c r="D33" s="14" t="n">
        <x:v>65.5</x:v>
      </x:c>
      <x:c r="E33" s="14" t="n">
        <x:v>74.5</x:v>
      </x:c>
      <x:c r="F33" s="14" t="n">
        <x:v>2</x:v>
      </x:c>
      <x:c r="G33" s="14" t="n">
        <x:v>73.1</x:v>
      </x:c>
      <x:c r="H33" s="14" t="n">
        <x:v>114.9</x:v>
      </x:c>
      <x:c r="I33" s="14" t="n">
        <x:v>0.4</x:v>
      </x:c>
      <x:c r="J33" s="14" t="n">
        <x:v>73</x:v>
      </x:c>
      <x:c r="K33" s="14" t="n">
        <x:v>115</x:v>
      </x:c>
      <x:c r="L33" s="14" t="n">
        <x:v>0</x:v>
      </x:c>
      <x:c r="M33" s="14" t="n">
        <x:v>0.029435070596788574</x:v>
      </x:c>
      <x:c r="N33" s="14" t="n">
        <x:f>M33*'Assumptions'!$B$8</x:f>
        <x:v>1.1562967008508216</x:v>
      </x:c>
      <x:c r="O33" s="14" t="n">
        <x:f>N33/'Assumptions'!$B$6</x:f>
        <x:v>0.2943507059678857</x:v>
      </x:c>
      <x:c r="P33" s="14" t="n">
        <x:v>0.8150131859752523</x:v>
      </x:c>
      <x:c r="Q33" s="15" t="n">
        <x:v>0.54</x:v>
      </x:c>
      <x:c r="R33" s="14" t="n">
        <x:f>Q33*'Assumptions'!$B$6</x:f>
        <x:v>2.12127984</x:v>
      </x:c>
      <x:c r="S33" s="14" t="n">
        <x:f>N33-R33</x:f>
        <x:v>-0.9649831391491785</x:v>
      </x:c>
      <x:c r="T33" s="14" t="n">
        <x:f>ABS(S33)</x:f>
        <x:v>0.9649831391491785</x:v>
      </x:c>
      <x:c r="U33" s="14" t="n">
        <x:f>O33-Q33</x:f>
        <x:v>-0.24564929403211433</x:v>
      </x:c>
      <x:c r="V33" s="14" t="n">
        <x:f>ABS(U33)</x:f>
        <x:v>0.24564929403211433</x:v>
      </x:c>
      <x:c r="W33" s="17" t="str">
        <x:v>trilinear_world_xyz</x:v>
      </x:c>
      <x:c r="X33" s="17" t="str">
        <x:v>dx=5m smoke run; z=2m lies between ground and z=5m layer</x:v>
      </x:c>
      <x:c r="Y33" s="16" t="n">
        <x:f>IF(Q33=0,"",V33/Q33)</x:f>
        <x:v>0.45490610005947096</x:v>
      </x:c>
    </x:row>
    <x:row r="34">
      <x:c r="A34" s="13" t="n">
        <x:v>33</x:v>
      </x:c>
      <x:c r="B34" s="13" t="str">
        <x:v>ac</x:v>
      </x:c>
      <x:c r="C34" s="13" t="str">
        <x:v>N</x:v>
      </x:c>
      <x:c r="D34" s="14" t="n">
        <x:v>73.5</x:v>
      </x:c>
      <x:c r="E34" s="14" t="n">
        <x:v>56.5</x:v>
      </x:c>
      <x:c r="F34" s="14" t="n">
        <x:v>2</x:v>
      </x:c>
      <x:c r="G34" s="14" t="n">
        <x:v>74.7</x:v>
      </x:c>
      <x:c r="H34" s="14" t="n">
        <x:v>111.3</x:v>
      </x:c>
      <x:c r="I34" s="14" t="n">
        <x:v>0.4</x:v>
      </x:c>
      <x:c r="J34" s="14" t="n">
        <x:v>75</x:v>
      </x:c>
      <x:c r="K34" s="14" t="n">
        <x:v>111</x:v>
      </x:c>
      <x:c r="L34" s="14" t="n">
        <x:v>0</x:v>
      </x:c>
      <x:c r="M34" s="14" t="n">
        <x:v>0.02900575161080676</x:v>
      </x:c>
      <x:c r="N34" s="14" t="n">
        <x:f>M34*'Assumptions'!$B$8</x:f>
        <x:v>1.1394317802972573</x:v>
      </x:c>
      <x:c r="O34" s="14" t="n">
        <x:f>N34/'Assumptions'!$B$6</x:f>
        <x:v>0.29005751610806757</x:v>
      </x:c>
      <x:c r="P34" s="14" t="n">
        <x:v>0.8090999166173422</x:v>
      </x:c>
      <x:c r="Q34" s="15" t="n">
        <x:v>0.52</x:v>
      </x:c>
      <x:c r="R34" s="14" t="n">
        <x:f>Q34*'Assumptions'!$B$6</x:f>
        <x:v>2.04271392</x:v>
      </x:c>
      <x:c r="S34" s="14" t="n">
        <x:f>N34-R34</x:f>
        <x:v>-0.9032821397027428</x:v>
      </x:c>
      <x:c r="T34" s="14" t="n">
        <x:f>ABS(S34)</x:f>
        <x:v>0.9032821397027428</x:v>
      </x:c>
      <x:c r="U34" s="14" t="n">
        <x:f>O34-Q34</x:f>
        <x:v>-0.22994248389193245</x:v>
      </x:c>
      <x:c r="V34" s="14" t="n">
        <x:f>ABS(U34)</x:f>
        <x:v>0.22994248389193245</x:v>
      </x:c>
      <x:c r="W34" s="17" t="str">
        <x:v>trilinear_world_xyz</x:v>
      </x:c>
      <x:c r="X34" s="17" t="str">
        <x:v>dx=5m smoke run; z=2m lies between ground and z=5m layer</x:v>
      </x:c>
      <x:c r="Y34" s="16" t="n">
        <x:f>IF(Q34=0,"",V34/Q34)</x:f>
        <x:v>0.4421970844075624</x:v>
      </x:c>
    </x:row>
    <x:row r="35">
      <x:c r="A35" s="13" t="n">
        <x:v>34</x:v>
      </x:c>
      <x:c r="B35" s="13" t="str">
        <x:v>ac</x:v>
      </x:c>
      <x:c r="C35" s="13" t="str">
        <x:v>N</x:v>
      </x:c>
      <x:c r="D35" s="14" t="n">
        <x:v>-117.5</x:v>
      </x:c>
      <x:c r="E35" s="14" t="n">
        <x:v>-32</x:v>
      </x:c>
      <x:c r="F35" s="14" t="n">
        <x:v>2</x:v>
      </x:c>
      <x:c r="G35" s="14" t="n">
        <x:v>36.5</x:v>
      </x:c>
      <x:c r="H35" s="14" t="n">
        <x:v>93.6</x:v>
      </x:c>
      <x:c r="I35" s="14" t="n">
        <x:v>0.4</x:v>
      </x:c>
      <x:c r="J35" s="14" t="n">
        <x:v>36</x:v>
      </x:c>
      <x:c r="K35" s="14" t="n">
        <x:v>94</x:v>
      </x:c>
      <x:c r="L35" s="14" t="n">
        <x:v>0</x:v>
      </x:c>
      <x:c r="M35" s="14" t="n">
        <x:v>0.015709521261927387</x:v>
      </x:c>
      <x:c r="N35" s="14" t="n">
        <x:f>M35*'Assumptions'!$B$8</x:f>
        <x:v>0.617116495351443</x:v>
      </x:c>
      <x:c r="O35" s="14" t="n">
        <x:f>N35/'Assumptions'!$B$6</x:f>
        <x:v>0.15709521261927384</x:v>
      </x:c>
      <x:c r="P35" s="14" t="n">
        <x:v>0.5243568754560789</x:v>
      </x:c>
      <x:c r="Q35" s="15" t="n">
        <x:v>0.32</x:v>
      </x:c>
      <x:c r="R35" s="14" t="n">
        <x:f>Q35*'Assumptions'!$B$6</x:f>
        <x:v>1.25705472</x:v>
      </x:c>
      <x:c r="S35" s="14" t="n">
        <x:f>N35-R35</x:f>
        <x:v>-0.639938224648557</x:v>
      </x:c>
      <x:c r="T35" s="14" t="n">
        <x:f>ABS(S35)</x:f>
        <x:v>0.639938224648557</x:v>
      </x:c>
      <x:c r="U35" s="14" t="n">
        <x:f>O35-Q35</x:f>
        <x:v>-0.16290478738072617</x:v>
      </x:c>
      <x:c r="V35" s="14" t="n">
        <x:f>ABS(U35)</x:f>
        <x:v>0.16290478738072617</x:v>
      </x:c>
      <x:c r="W35" s="17" t="str">
        <x:v>trilinear_world_xyz</x:v>
      </x:c>
      <x:c r="X35" s="17" t="str">
        <x:v>dx=5m smoke run; z=2m lies between ground and z=5m layer</x:v>
      </x:c>
      <x:c r="Y35" s="16" t="n">
        <x:f>IF(Q35=0,"",V35/Q35)</x:f>
        <x:v>0.5090774605647692</x:v>
      </x:c>
    </x:row>
    <x:row r="36">
      <x:c r="A36" s="13" t="n">
        <x:v>35</x:v>
      </x:c>
      <x:c r="B36" s="13" t="str">
        <x:v>ac</x:v>
      </x:c>
      <x:c r="C36" s="13" t="str">
        <x:v>N</x:v>
      </x:c>
      <x:c r="D36" s="14" t="n">
        <x:v>-86.5</x:v>
      </x:c>
      <x:c r="E36" s="14" t="n">
        <x:v>-35.5</x:v>
      </x:c>
      <x:c r="F36" s="14" t="n">
        <x:v>2</x:v>
      </x:c>
      <x:c r="G36" s="14" t="n">
        <x:v>42.7</x:v>
      </x:c>
      <x:c r="H36" s="14" t="n">
        <x:v>92.9</x:v>
      </x:c>
      <x:c r="I36" s="14" t="n">
        <x:v>0.4</x:v>
      </x:c>
      <x:c r="J36" s="14" t="n">
        <x:v>43</x:v>
      </x:c>
      <x:c r="K36" s="14" t="n">
        <x:v>93</x:v>
      </x:c>
      <x:c r="L36" s="14" t="n">
        <x:v>0</x:v>
      </x:c>
      <x:c r="M36" s="14" t="n">
        <x:v>0.014305389859555831</x:v>
      </x:c>
      <x:c r="N36" s="14" t="n">
        <x:f>M36*'Assumptions'!$B$8</x:f>
        <x:v>0.5619580576373373</x:v>
      </x:c>
      <x:c r="O36" s="14" t="n">
        <x:f>N36/'Assumptions'!$B$6</x:f>
        <x:v>0.1430538985955583</x:v>
      </x:c>
      <x:c r="P36" s="14" t="n">
        <x:v>0.5181354992136268</x:v>
      </x:c>
      <x:c r="Q36" s="15" t="n">
        <x:v>0.5</x:v>
      </x:c>
      <x:c r="R36" s="14" t="n">
        <x:f>Q36*'Assumptions'!$B$6</x:f>
        <x:v>1.964148</x:v>
      </x:c>
      <x:c r="S36" s="14" t="n">
        <x:f>N36-R36</x:f>
        <x:v>-1.4021899423626627</x:v>
      </x:c>
      <x:c r="T36" s="14" t="n">
        <x:f>ABS(S36)</x:f>
        <x:v>1.4021899423626627</x:v>
      </x:c>
      <x:c r="U36" s="14" t="n">
        <x:f>O36-Q36</x:f>
        <x:v>-0.3569461014044417</x:v>
      </x:c>
      <x:c r="V36" s="14" t="n">
        <x:f>ABS(U36)</x:f>
        <x:v>0.3569461014044417</x:v>
      </x:c>
      <x:c r="W36" s="17" t="str">
        <x:v>trilinear_world_xyz</x:v>
      </x:c>
      <x:c r="X36" s="17" t="str">
        <x:v>dx=5m smoke run; z=2m lies between ground and z=5m layer</x:v>
      </x:c>
      <x:c r="Y36" s="16" t="n">
        <x:f>IF(Q36=0,"",V36/Q36)</x:f>
        <x:v>0.7138922028088834</x:v>
      </x:c>
    </x:row>
    <x:row r="37">
      <x:c r="A37" s="13" t="n">
        <x:v>36</x:v>
      </x:c>
      <x:c r="B37" s="13" t="str">
        <x:v>ac</x:v>
      </x:c>
      <x:c r="C37" s="13" t="str">
        <x:v>N</x:v>
      </x:c>
      <x:c r="D37" s="14" t="n">
        <x:v>-75</x:v>
      </x:c>
      <x:c r="E37" s="14" t="n">
        <x:v>-31.5</x:v>
      </x:c>
      <x:c r="F37" s="14" t="n">
        <x:v>2</x:v>
      </x:c>
      <x:c r="G37" s="14" t="n">
        <x:v>45</x:v>
      </x:c>
      <x:c r="H37" s="14" t="n">
        <x:v>93.7</x:v>
      </x:c>
      <x:c r="I37" s="14" t="n">
        <x:v>0.4</x:v>
      </x:c>
      <x:c r="J37" s="14" t="n">
        <x:v>45</x:v>
      </x:c>
      <x:c r="K37" s="14" t="n">
        <x:v>94</x:v>
      </x:c>
      <x:c r="L37" s="14" t="n">
        <x:v>0</x:v>
      </x:c>
      <x:c r="M37" s="14" t="n">
        <x:v>0.011204800818770703</x:v>
      </x:c>
      <x:c r="N37" s="14" t="n">
        <x:f>M37*'Assumptions'!$B$8</x:f>
        <x:v>0.4401577423717367</x:v>
      </x:c>
      <x:c r="O37" s="14" t="n">
        <x:f>N37/'Assumptions'!$B$6</x:f>
        <x:v>0.11204800818770702</x:v>
      </x:c>
      <x:c r="P37" s="14" t="n">
        <x:v>0.4702565603316857</x:v>
      </x:c>
      <x:c r="Q37" s="15" t="n">
        <x:v>0.32</x:v>
      </x:c>
      <x:c r="R37" s="14" t="n">
        <x:f>Q37*'Assumptions'!$B$6</x:f>
        <x:v>1.25705472</x:v>
      </x:c>
      <x:c r="S37" s="14" t="n">
        <x:f>N37-R37</x:f>
        <x:v>-0.8168969776282633</x:v>
      </x:c>
      <x:c r="T37" s="14" t="n">
        <x:f>ABS(S37)</x:f>
        <x:v>0.8168969776282633</x:v>
      </x:c>
      <x:c r="U37" s="14" t="n">
        <x:f>O37-Q37</x:f>
        <x:v>-0.20795199181229299</x:v>
      </x:c>
      <x:c r="V37" s="14" t="n">
        <x:f>ABS(U37)</x:f>
        <x:v>0.20795199181229299</x:v>
      </x:c>
      <x:c r="W37" s="17" t="str">
        <x:v>trilinear_world_xyz</x:v>
      </x:c>
      <x:c r="X37" s="17" t="str">
        <x:v>dx=5m smoke run; z=2m lies between ground and z=5m layer</x:v>
      </x:c>
      <x:c r="Y37" s="16" t="n">
        <x:f>IF(Q37=0,"",V37/Q37)</x:f>
        <x:v>0.6498499744134155</x:v>
      </x:c>
    </x:row>
    <x:row r="38">
      <x:c r="A38" s="13" t="n">
        <x:v>37</x:v>
      </x:c>
      <x:c r="B38" s="13" t="str">
        <x:v>ac</x:v>
      </x:c>
      <x:c r="C38" s="13" t="str">
        <x:v>N</x:v>
      </x:c>
      <x:c r="D38" s="14" t="n">
        <x:v>-55.5</x:v>
      </x:c>
      <x:c r="E38" s="14" t="n">
        <x:v>-23</x:v>
      </x:c>
      <x:c r="F38" s="14" t="n">
        <x:v>2</x:v>
      </x:c>
      <x:c r="G38" s="14" t="n">
        <x:v>48.9</x:v>
      </x:c>
      <x:c r="H38" s="14" t="n">
        <x:v>95.4</x:v>
      </x:c>
      <x:c r="I38" s="14" t="n">
        <x:v>0.4</x:v>
      </x:c>
      <x:c r="J38" s="14" t="n">
        <x:v>49</x:v>
      </x:c>
      <x:c r="K38" s="14" t="n">
        <x:v>95</x:v>
      </x:c>
      <x:c r="L38" s="14" t="n">
        <x:v>0</x:v>
      </x:c>
      <x:c r="M38" s="14" t="n">
        <x:v>0.029521095394676213</x:v>
      </x:c>
      <x:c r="N38" s="14" t="n">
        <x:f>M38*'Assumptions'!$B$8</x:f>
        <x:v>1.1596760095452496</x:v>
      </x:c>
      <x:c r="O38" s="14" t="n">
        <x:f>N38/'Assumptions'!$B$6</x:f>
        <x:v>0.29521095394676206</x:v>
      </x:c>
      <x:c r="P38" s="14" t="n">
        <x:v>0.840924868243272</x:v>
      </x:c>
      <x:c r="Q38" s="15" t="n">
        <x:v>0.48</x:v>
      </x:c>
      <x:c r="R38" s="14" t="n">
        <x:f>Q38*'Assumptions'!$B$6</x:f>
        <x:v>1.8855820799999998</x:v>
      </x:c>
      <x:c r="S38" s="14" t="n">
        <x:f>N38-R38</x:f>
        <x:v>-0.7259060704547502</x:v>
      </x:c>
      <x:c r="T38" s="14" t="n">
        <x:f>ABS(S38)</x:f>
        <x:v>0.7259060704547502</x:v>
      </x:c>
      <x:c r="U38" s="14" t="n">
        <x:f>O38-Q38</x:f>
        <x:v>-0.18478904605323793</x:v>
      </x:c>
      <x:c r="V38" s="14" t="n">
        <x:f>ABS(U38)</x:f>
        <x:v>0.18478904605323793</x:v>
      </x:c>
      <x:c r="W38" s="17" t="str">
        <x:v>trilinear_world_xyz</x:v>
      </x:c>
      <x:c r="X38" s="17" t="str">
        <x:v>dx=5m smoke run; z=2m lies between ground and z=5m layer</x:v>
      </x:c>
      <x:c r="Y38" s="16" t="n">
        <x:f>IF(Q38=0,"",V38/Q38)</x:f>
        <x:v>0.384977179277579</x:v>
      </x:c>
    </x:row>
    <x:row r="39">
      <x:c r="A39" s="13" t="n">
        <x:v>38</x:v>
      </x:c>
      <x:c r="B39" s="13" t="str">
        <x:v>ac</x:v>
      </x:c>
      <x:c r="C39" s="13" t="str">
        <x:v>N</x:v>
      </x:c>
      <x:c r="D39" s="14" t="n">
        <x:v>-26</x:v>
      </x:c>
      <x:c r="E39" s="14" t="n">
        <x:v>-10</x:v>
      </x:c>
      <x:c r="F39" s="14" t="n">
        <x:v>2</x:v>
      </x:c>
      <x:c r="G39" s="14" t="n">
        <x:v>54.8</x:v>
      </x:c>
      <x:c r="H39" s="14" t="n">
        <x:v>98</x:v>
      </x:c>
      <x:c r="I39" s="14" t="n">
        <x:v>0.4</x:v>
      </x:c>
      <x:c r="J39" s="14" t="n">
        <x:v>55</x:v>
      </x:c>
      <x:c r="K39" s="14" t="n">
        <x:v>98</x:v>
      </x:c>
      <x:c r="L39" s="14" t="n">
        <x:v>0</x:v>
      </x:c>
      <x:c r="M39" s="14" t="n">
        <x:v>0.028303877199656383</x:v>
      </x:c>
      <x:c r="N39" s="14" t="n">
        <x:f>M39*'Assumptions'!$B$8</x:f>
        <x:v>1.1118600758790136</x:v>
      </x:c>
      <x:c r="O39" s="14" t="n">
        <x:f>N39/'Assumptions'!$B$6</x:f>
        <x:v>0.2830387719965638</x:v>
      </x:c>
      <x:c r="P39" s="14" t="n">
        <x:v>0.8141585690815891</x:v>
      </x:c>
      <x:c r="Q39" s="15" t="n">
        <x:v>0.61</x:v>
      </x:c>
      <x:c r="R39" s="14" t="n">
        <x:f>Q39*'Assumptions'!$B$6</x:f>
        <x:v>2.39626056</x:v>
      </x:c>
      <x:c r="S39" s="14" t="n">
        <x:f>N39-R39</x:f>
        <x:v>-1.2844004841209864</x:v>
      </x:c>
      <x:c r="T39" s="14" t="n">
        <x:f>ABS(S39)</x:f>
        <x:v>1.2844004841209864</x:v>
      </x:c>
      <x:c r="U39" s="14" t="n">
        <x:f>O39-Q39</x:f>
        <x:v>-0.3269612280034362</x:v>
      </x:c>
      <x:c r="V39" s="14" t="n">
        <x:f>ABS(U39)</x:f>
        <x:v>0.3269612280034362</x:v>
      </x:c>
      <x:c r="W39" s="17" t="str">
        <x:v>trilinear_world_xyz</x:v>
      </x:c>
      <x:c r="X39" s="17" t="str">
        <x:v>dx=5m smoke run; z=2m lies between ground and z=5m layer</x:v>
      </x:c>
      <x:c r="Y39" s="16" t="n">
        <x:f>IF(Q39=0,"",V39/Q39)</x:f>
        <x:v>0.5360020131203872</x:v>
      </x:c>
    </x:row>
    <x:row r="40">
      <x:c r="A40" s="13" t="n">
        <x:v>39</x:v>
      </x:c>
      <x:c r="B40" s="13" t="str">
        <x:v>ac</x:v>
      </x:c>
      <x:c r="C40" s="13" t="str">
        <x:v>N</x:v>
      </x:c>
      <x:c r="D40" s="14" t="n">
        <x:v>-9</x:v>
      </x:c>
      <x:c r="E40" s="14" t="n">
        <x:v>-2.5</x:v>
      </x:c>
      <x:c r="F40" s="14" t="n">
        <x:v>2</x:v>
      </x:c>
      <x:c r="G40" s="14" t="n">
        <x:v>58.2</x:v>
      </x:c>
      <x:c r="H40" s="14" t="n">
        <x:v>99.5</x:v>
      </x:c>
      <x:c r="I40" s="14" t="n">
        <x:v>0.4</x:v>
      </x:c>
      <x:c r="J40" s="14" t="n">
        <x:v>58</x:v>
      </x:c>
      <x:c r="K40" s="14" t="n">
        <x:v>100</x:v>
      </x:c>
      <x:c r="L40" s="14" t="n">
        <x:v>0</x:v>
      </x:c>
      <x:c r="M40" s="14" t="n">
        <x:v>0.028013771743862225</x:v>
      </x:c>
      <x:c r="N40" s="14" t="n">
        <x:f>M40*'Assumptions'!$B$8</x:f>
        <x:v>1.10046387486327</x:v>
      </x:c>
      <x:c r="O40" s="14" t="n">
        <x:f>N40/'Assumptions'!$B$6</x:f>
        <x:v>0.28013771743862226</x:v>
      </x:c>
      <x:c r="P40" s="14" t="n">
        <x:v>0.8062110458472181</x:v>
      </x:c>
      <x:c r="Q40" s="15" t="n">
        <x:v>0.26</x:v>
      </x:c>
      <x:c r="R40" s="14" t="n">
        <x:f>Q40*'Assumptions'!$B$6</x:f>
        <x:v>1.02135696</x:v>
      </x:c>
      <x:c r="S40" s="14" t="n">
        <x:f>N40-R40</x:f>
        <x:v>0.07910691486326993</x:v>
      </x:c>
      <x:c r="T40" s="14" t="n">
        <x:f>ABS(S40)</x:f>
        <x:v>0.07910691486326993</x:v>
      </x:c>
      <x:c r="U40" s="14" t="n">
        <x:f>O40-Q40</x:f>
        <x:v>0.02013771743862225</x:v>
      </x:c>
      <x:c r="V40" s="14" t="n">
        <x:f>ABS(U40)</x:f>
        <x:v>0.02013771743862225</x:v>
      </x:c>
      <x:c r="W40" s="17" t="str">
        <x:v>trilinear_world_xyz</x:v>
      </x:c>
      <x:c r="X40" s="17" t="str">
        <x:v>dx=5m smoke run; z=2m lies between ground and z=5m layer</x:v>
      </x:c>
      <x:c r="Y40" s="16" t="n">
        <x:f>IF(Q40=0,"",V40/Q40)</x:f>
        <x:v>0.07745275937931634</x:v>
      </x:c>
    </x:row>
    <x:row r="41">
      <x:c r="A41" s="13" t="n">
        <x:v>40</x:v>
      </x:c>
      <x:c r="B41" s="13" t="str">
        <x:v>ac</x:v>
      </x:c>
      <x:c r="C41" s="13" t="str">
        <x:v>N</x:v>
      </x:c>
      <x:c r="D41" s="14" t="n">
        <x:v>6.5</x:v>
      </x:c>
      <x:c r="E41" s="14" t="n">
        <x:v>4.5</x:v>
      </x:c>
      <x:c r="F41" s="14" t="n">
        <x:v>2</x:v>
      </x:c>
      <x:c r="G41" s="14" t="n">
        <x:v>61.3</x:v>
      </x:c>
      <x:c r="H41" s="14" t="n">
        <x:v>100.9</x:v>
      </x:c>
      <x:c r="I41" s="14" t="n">
        <x:v>0.4</x:v>
      </x:c>
      <x:c r="J41" s="14" t="n">
        <x:v>61</x:v>
      </x:c>
      <x:c r="K41" s="14" t="n">
        <x:v>101</x:v>
      </x:c>
      <x:c r="L41" s="14" t="n">
        <x:v>0</x:v>
      </x:c>
      <x:c r="M41" s="14" t="n">
        <x:v>0.02824412170140955</x:v>
      </x:c>
      <x:c r="N41" s="14" t="n">
        <x:f>M41*'Assumptions'!$B$8</x:f>
        <x:v>1.1095127030316032</x:v>
      </x:c>
      <x:c r="O41" s="14" t="n">
        <x:f>N41/'Assumptions'!$B$6</x:f>
        <x:v>0.28244121701409547</x:v>
      </x:c>
      <x:c r="P41" s="14" t="n">
        <x:v>0.8096584793983443</x:v>
      </x:c>
      <x:c r="Q41" s="15" t="n">
        <x:v>0.38</x:v>
      </x:c>
      <x:c r="R41" s="14" t="n">
        <x:f>Q41*'Assumptions'!$B$6</x:f>
        <x:v>1.49275248</x:v>
      </x:c>
      <x:c r="S41" s="14" t="n">
        <x:f>N41-R41</x:f>
        <x:v>-0.38323977696839684</x:v>
      </x:c>
      <x:c r="T41" s="14" t="n">
        <x:f>ABS(S41)</x:f>
        <x:v>0.38323977696839684</x:v>
      </x:c>
      <x:c r="U41" s="14" t="n">
        <x:f>O41-Q41</x:f>
        <x:v>-0.09755878298590454</x:v>
      </x:c>
      <x:c r="V41" s="14" t="n">
        <x:f>ABS(U41)</x:f>
        <x:v>0.09755878298590454</x:v>
      </x:c>
      <x:c r="W41" s="17" t="str">
        <x:v>trilinear_world_xyz</x:v>
      </x:c>
      <x:c r="X41" s="17" t="str">
        <x:v>dx=5m smoke run; z=2m lies between ground and z=5m layer</x:v>
      </x:c>
      <x:c r="Y41" s="16" t="n">
        <x:f>IF(Q41=0,"",V41/Q41)</x:f>
        <x:v>0.2567336394365909</x:v>
      </x:c>
    </x:row>
    <x:row r="42">
      <x:c r="A42" s="13" t="n">
        <x:v>41</x:v>
      </x:c>
      <x:c r="B42" s="13" t="str">
        <x:v>ac</x:v>
      </x:c>
      <x:c r="C42" s="13" t="str">
        <x:v>N</x:v>
      </x:c>
      <x:c r="D42" s="14" t="n">
        <x:v>29.5</x:v>
      </x:c>
      <x:c r="E42" s="14" t="n">
        <x:v>15</x:v>
      </x:c>
      <x:c r="F42" s="14" t="n">
        <x:v>2</x:v>
      </x:c>
      <x:c r="G42" s="14" t="n">
        <x:v>65.9</x:v>
      </x:c>
      <x:c r="H42" s="14" t="n">
        <x:v>103</x:v>
      </x:c>
      <x:c r="I42" s="14" t="n">
        <x:v>0.4</x:v>
      </x:c>
      <x:c r="J42" s="14" t="n">
        <x:v>66</x:v>
      </x:c>
      <x:c r="K42" s="14" t="n">
        <x:v>103</x:v>
      </x:c>
      <x:c r="L42" s="14" t="n">
        <x:v>0</x:v>
      </x:c>
      <x:c r="M42" s="14" t="n">
        <x:v>0.028336337575343207</x:v>
      </x:c>
      <x:c r="N42" s="14" t="n">
        <x:f>M42*'Assumptions'!$B$8</x:f>
        <x:v>1.113135215518704</x:v>
      </x:c>
      <x:c r="O42" s="14" t="n">
        <x:f>N42/'Assumptions'!$B$6</x:f>
        <x:v>0.283363375753432</x:v>
      </x:c>
      <x:c r="P42" s="14" t="n">
        <x:v>0.8077959379961963</x:v>
      </x:c>
      <x:c r="Q42" s="15" t="n">
        <x:v>0.46</x:v>
      </x:c>
      <x:c r="R42" s="14" t="n">
        <x:f>Q42*'Assumptions'!$B$6</x:f>
        <x:v>1.80701616</x:v>
      </x:c>
      <x:c r="S42" s="14" t="n">
        <x:f>N42-R42</x:f>
        <x:v>-0.6938809444812961</x:v>
      </x:c>
      <x:c r="T42" s="14" t="n">
        <x:f>ABS(S42)</x:f>
        <x:v>0.6938809444812961</x:v>
      </x:c>
      <x:c r="U42" s="14" t="n">
        <x:f>O42-Q42</x:f>
        <x:v>-0.176636624246568</x:v>
      </x:c>
      <x:c r="V42" s="14" t="n">
        <x:f>ABS(U42)</x:f>
        <x:v>0.176636624246568</x:v>
      </x:c>
      <x:c r="W42" s="17" t="str">
        <x:v>trilinear_world_xyz</x:v>
      </x:c>
      <x:c r="X42" s="17" t="str">
        <x:v>dx=5m smoke run; z=2m lies between ground and z=5m layer</x:v>
      </x:c>
      <x:c r="Y42" s="16" t="n">
        <x:f>IF(Q42=0,"",V42/Q42)</x:f>
        <x:v>0.38399266140558264</x:v>
      </x:c>
    </x:row>
    <x:row r="43">
      <x:c r="A43" s="13" t="n">
        <x:v>42</x:v>
      </x:c>
      <x:c r="B43" s="13" t="str">
        <x:v>ac</x:v>
      </x:c>
      <x:c r="C43" s="13" t="str">
        <x:v>N</x:v>
      </x:c>
      <x:c r="D43" s="14" t="n">
        <x:v>53</x:v>
      </x:c>
      <x:c r="E43" s="14" t="n">
        <x:v>26</x:v>
      </x:c>
      <x:c r="F43" s="14" t="n">
        <x:v>2</x:v>
      </x:c>
      <x:c r="G43" s="14" t="n">
        <x:v>70.6</x:v>
      </x:c>
      <x:c r="H43" s="14" t="n">
        <x:v>105.2</x:v>
      </x:c>
      <x:c r="I43" s="14" t="n">
        <x:v>0.4</x:v>
      </x:c>
      <x:c r="J43" s="14" t="n">
        <x:v>71</x:v>
      </x:c>
      <x:c r="K43" s="14" t="n">
        <x:v>105</x:v>
      </x:c>
      <x:c r="L43" s="14" t="n">
        <x:v>0</x:v>
      </x:c>
      <x:c r="M43" s="14" t="n">
        <x:v>0.028409403579123436</x:v>
      </x:c>
      <x:c r="N43" s="14" t="n">
        <x:f>M43*'Assumptions'!$B$8</x:f>
        <x:v>1.1160054644225628</x:v>
      </x:c>
      <x:c r="O43" s="14" t="n">
        <x:f>N43/'Assumptions'!$B$6</x:f>
        <x:v>0.2840940357912344</x:v>
      </x:c>
      <x:c r="P43" s="14" t="n">
        <x:v>0.8049825505425465</x:v>
      </x:c>
      <x:c r="Q43" s="15" t="n">
        <x:v>0.44</x:v>
      </x:c>
      <x:c r="R43" s="14" t="n">
        <x:f>Q43*'Assumptions'!$B$6</x:f>
        <x:v>1.72845024</x:v>
      </x:c>
      <x:c r="S43" s="14" t="n">
        <x:f>N43-R43</x:f>
        <x:v>-0.6124447755774372</x:v>
      </x:c>
      <x:c r="T43" s="14" t="n">
        <x:f>ABS(S43)</x:f>
        <x:v>0.6124447755774372</x:v>
      </x:c>
      <x:c r="U43" s="14" t="n">
        <x:f>O43-Q43</x:f>
        <x:v>-0.15590596420876562</x:v>
      </x:c>
      <x:c r="V43" s="14" t="n">
        <x:f>ABS(U43)</x:f>
        <x:v>0.15590596420876562</x:v>
      </x:c>
      <x:c r="W43" s="17" t="str">
        <x:v>trilinear_world_xyz</x:v>
      </x:c>
      <x:c r="X43" s="17" t="str">
        <x:v>dx=5m smoke run; z=2m lies between ground and z=5m layer</x:v>
      </x:c>
      <x:c r="Y43" s="16" t="n">
        <x:f>IF(Q43=0,"",V43/Q43)</x:f>
        <x:v>0.3543317368381037</x:v>
      </x:c>
    </x:row>
    <x:row r="44">
      <x:c r="A44" s="13" t="n">
        <x:v>43</x:v>
      </x:c>
      <x:c r="B44" s="13" t="str">
        <x:v>ac</x:v>
      </x:c>
      <x:c r="C44" s="13" t="str">
        <x:v>N</x:v>
      </x:c>
      <x:c r="D44" s="14" t="n">
        <x:v>67.5</x:v>
      </x:c>
      <x:c r="E44" s="14" t="n">
        <x:v>32.5</x:v>
      </x:c>
      <x:c r="F44" s="14" t="n">
        <x:v>2</x:v>
      </x:c>
      <x:c r="G44" s="14" t="n">
        <x:v>73.5</x:v>
      </x:c>
      <x:c r="H44" s="14" t="n">
        <x:v>106.5</x:v>
      </x:c>
      <x:c r="I44" s="14" t="n">
        <x:v>0.4</x:v>
      </x:c>
      <x:c r="J44" s="14" t="n">
        <x:v>74</x:v>
      </x:c>
      <x:c r="K44" s="14" t="n">
        <x:v>106</x:v>
      </x:c>
      <x:c r="L44" s="14" t="n">
        <x:v>0</x:v>
      </x:c>
      <x:c r="M44" s="14" t="n">
        <x:v>0.028462206362938752</x:v>
      </x:c>
      <x:c r="N44" s="14" t="n">
        <x:f>M44*'Assumptions'!$B$8</x:f>
        <x:v>1.1180797140670684</x:v>
      </x:c>
      <x:c r="O44" s="14" t="n">
        <x:f>N44/'Assumptions'!$B$6</x:f>
        <x:v>0.2846220636293875</x:v>
      </x:c>
      <x:c r="P44" s="14" t="n">
        <x:v>0.8032266639391912</x:v>
      </x:c>
      <x:c r="Q44" s="15" t="n">
        <x:v>0.3</x:v>
      </x:c>
      <x:c r="R44" s="14" t="n">
        <x:f>Q44*'Assumptions'!$B$6</x:f>
        <x:v>1.1784888</x:v>
      </x:c>
      <x:c r="S44" s="14" t="n">
        <x:f>N44-R44</x:f>
        <x:v>-0.060409085932931594</x:v>
      </x:c>
      <x:c r="T44" s="14" t="n">
        <x:f>ABS(S44)</x:f>
        <x:v>0.060409085932931594</x:v>
      </x:c>
      <x:c r="U44" s="14" t="n">
        <x:f>O44-Q44</x:f>
        <x:v>-0.015377936370612466</x:v>
      </x:c>
      <x:c r="V44" s="14" t="n">
        <x:f>ABS(U44)</x:f>
        <x:v>0.015377936370612466</x:v>
      </x:c>
      <x:c r="W44" s="17" t="str">
        <x:v>trilinear_world_xyz</x:v>
      </x:c>
      <x:c r="X44" s="17" t="str">
        <x:v>dx=5m smoke run; z=2m lies between ground and z=5m layer</x:v>
      </x:c>
      <x:c r="Y44" s="16" t="n">
        <x:f>IF(Q44=0,"",V44/Q44)</x:f>
        <x:v>0.051259787902041554</x:v>
      </x:c>
    </x:row>
    <x:row r="45">
      <x:c r="A45" s="13" t="n">
        <x:v>44</x:v>
      </x:c>
      <x:c r="B45" s="13" t="str">
        <x:v>ac</x:v>
      </x:c>
      <x:c r="C45" s="13" t="str">
        <x:v>N</x:v>
      </x:c>
      <x:c r="D45" s="14" t="n">
        <x:v>83</x:v>
      </x:c>
      <x:c r="E45" s="14" t="n">
        <x:v>39</x:v>
      </x:c>
      <x:c r="F45" s="14" t="n">
        <x:v>2</x:v>
      </x:c>
      <x:c r="G45" s="14" t="n">
        <x:v>76.6</x:v>
      </x:c>
      <x:c r="H45" s="14" t="n">
        <x:v>107.8</x:v>
      </x:c>
      <x:c r="I45" s="14" t="n">
        <x:v>0.4</x:v>
      </x:c>
      <x:c r="J45" s="14" t="n">
        <x:v>77</x:v>
      </x:c>
      <x:c r="K45" s="14" t="n">
        <x:v>108</x:v>
      </x:c>
      <x:c r="L45" s="14" t="n">
        <x:v>0</x:v>
      </x:c>
      <x:c r="M45" s="14" t="n">
        <x:v>0.028517491343758118</x:v>
      </x:c>
      <x:c r="N45" s="14" t="n">
        <x:f>M45*'Assumptions'!$B$8</x:f>
        <x:v>1.1202514717571963</x:v>
      </x:c>
      <x:c r="O45" s="14" t="n">
        <x:f>N45/'Assumptions'!$B$6</x:f>
        <x:v>0.28517491343758117</x:v>
      </x:c>
      <x:c r="P45" s="14" t="n">
        <x:v>0.8031031215044997</x:v>
      </x:c>
      <x:c r="Q45" s="15" t="n">
        <x:v>0.46</x:v>
      </x:c>
      <x:c r="R45" s="14" t="n">
        <x:f>Q45*'Assumptions'!$B$6</x:f>
        <x:v>1.80701616</x:v>
      </x:c>
      <x:c r="S45" s="14" t="n">
        <x:f>N45-R45</x:f>
        <x:v>-0.6867646882428038</x:v>
      </x:c>
      <x:c r="T45" s="14" t="n">
        <x:f>ABS(S45)</x:f>
        <x:v>0.6867646882428038</x:v>
      </x:c>
      <x:c r="U45" s="14" t="n">
        <x:f>O45-Q45</x:f>
        <x:v>-0.17482508656241885</x:v>
      </x:c>
      <x:c r="V45" s="14" t="n">
        <x:f>ABS(U45)</x:f>
        <x:v>0.17482508656241885</x:v>
      </x:c>
      <x:c r="W45" s="17" t="str">
        <x:v>trilinear_world_xyz</x:v>
      </x:c>
      <x:c r="X45" s="17" t="str">
        <x:v>dx=5m smoke run; z=2m lies between ground and z=5m layer</x:v>
      </x:c>
      <x:c r="Y45" s="16" t="n">
        <x:f>IF(Q45=0,"",V45/Q45)</x:f>
        <x:v>0.38005453600525835</x:v>
      </x:c>
    </x:row>
    <x:row r="46">
      <x:c r="A46" s="13" t="n">
        <x:v>45</x:v>
      </x:c>
      <x:c r="B46" s="13" t="str">
        <x:v>ac</x:v>
      </x:c>
      <x:c r="C46" s="13" t="str">
        <x:v>N</x:v>
      </x:c>
      <x:c r="D46" s="14" t="n">
        <x:v>120.5</x:v>
      </x:c>
      <x:c r="E46" s="14" t="n">
        <x:v>56.5</x:v>
      </x:c>
      <x:c r="F46" s="14" t="n">
        <x:v>2</x:v>
      </x:c>
      <x:c r="G46" s="14" t="n">
        <x:v>84.1</x:v>
      </x:c>
      <x:c r="H46" s="14" t="n">
        <x:v>111.3</x:v>
      </x:c>
      <x:c r="I46" s="14" t="n">
        <x:v>0.4</x:v>
      </x:c>
      <x:c r="J46" s="14" t="n">
        <x:v>84</x:v>
      </x:c>
      <x:c r="K46" s="14" t="n">
        <x:v>111</x:v>
      </x:c>
      <x:c r="L46" s="14" t="n">
        <x:v>0</x:v>
      </x:c>
      <x:c r="M46" s="14" t="n">
        <x:v>0.028716738649276007</x:v>
      </x:c>
      <x:c r="N46" s="14" t="n">
        <x:f>M46*'Assumptions'!$B$8</x:f>
        <x:v>1.1280784956899632</x:v>
      </x:c>
      <x:c r="O46" s="14" t="n">
        <x:f>N46/'Assumptions'!$B$6</x:f>
        <x:v>0.28716738649276</x:v>
      </x:c>
      <x:c r="P46" s="14" t="n">
        <x:v>0.8006150837440563</x:v>
      </x:c>
      <x:c r="Q46" s="15" t="n">
        <x:v>0.2</x:v>
      </x:c>
      <x:c r="R46" s="14" t="n">
        <x:f>Q46*'Assumptions'!$B$6</x:f>
        <x:v>0.7856592</x:v>
      </x:c>
      <x:c r="S46" s="14" t="n">
        <x:f>N46-R46</x:f>
        <x:v>0.3424192956899632</x:v>
      </x:c>
      <x:c r="T46" s="14" t="n">
        <x:f>ABS(S46)</x:f>
        <x:v>0.3424192956899632</x:v>
      </x:c>
      <x:c r="U46" s="14" t="n">
        <x:f>O46-Q46</x:f>
        <x:v>0.08716738649276001</x:v>
      </x:c>
      <x:c r="V46" s="14" t="n">
        <x:f>ABS(U46)</x:f>
        <x:v>0.08716738649276001</x:v>
      </x:c>
      <x:c r="W46" s="17" t="str">
        <x:v>trilinear_world_xyz</x:v>
      </x:c>
      <x:c r="X46" s="17" t="str">
        <x:v>dx=5m smoke run; z=2m lies between ground and z=5m layer</x:v>
      </x:c>
      <x:c r="Y46" s="16" t="n">
        <x:f>IF(Q46=0,"",V46/Q46)</x:f>
        <x:v>0.43583693246380006</x:v>
      </x:c>
    </x:row>
    <x:row r="47">
      <x:c r="A47" s="13" t="n">
        <x:v>46</x:v>
      </x:c>
      <x:c r="B47" s="13" t="str">
        <x:v>ac</x:v>
      </x:c>
      <x:c r="C47" s="13" t="str">
        <x:v>N</x:v>
      </x:c>
      <x:c r="D47" s="14" t="n">
        <x:v>-121</x:v>
      </x:c>
      <x:c r="E47" s="14" t="n">
        <x:v>-56.5</x:v>
      </x:c>
      <x:c r="F47" s="14" t="n">
        <x:v>2</x:v>
      </x:c>
      <x:c r="G47" s="14" t="n">
        <x:v>35.8</x:v>
      </x:c>
      <x:c r="H47" s="14" t="n">
        <x:v>88.7</x:v>
      </x:c>
      <x:c r="I47" s="14" t="n">
        <x:v>0.4</x:v>
      </x:c>
      <x:c r="J47" s="14" t="n">
        <x:v>36</x:v>
      </x:c>
      <x:c r="K47" s="14" t="n">
        <x:v>89</x:v>
      </x:c>
      <x:c r="L47" s="14" t="n">
        <x:v>0</x:v>
      </x:c>
      <x:c r="M47" s="14" t="n">
        <x:v>0.01914582642107738</x:v>
      </x:c>
      <x:c r="N47" s="14" t="n">
        <x:f>M47*'Assumptions'!$B$8</x:f>
        <x:v>0.7521047334661257</x:v>
      </x:c>
      <x:c r="O47" s="14" t="n">
        <x:f>N47/'Assumptions'!$B$6</x:f>
        <x:v>0.19145826421077375</x:v>
      </x:c>
      <x:c r="P47" s="14" t="n">
        <x:v>0.6505718981961826</x:v>
      </x:c>
      <x:c r="Q47" s="15" t="n">
        <x:v>0.18</x:v>
      </x:c>
      <x:c r="R47" s="14" t="n">
        <x:f>Q47*'Assumptions'!$B$6</x:f>
        <x:v>0.7070932799999999</x:v>
      </x:c>
      <x:c r="S47" s="14" t="n">
        <x:f>N47-R47</x:f>
        <x:v>0.045011453466125784</x:v>
      </x:c>
      <x:c r="T47" s="14" t="n">
        <x:f>ABS(S47)</x:f>
        <x:v>0.045011453466125784</x:v>
      </x:c>
      <x:c r="U47" s="14" t="n">
        <x:f>O47-Q47</x:f>
        <x:v>0.011458264210773755</x:v>
      </x:c>
      <x:c r="V47" s="14" t="n">
        <x:f>ABS(U47)</x:f>
        <x:v>0.011458264210773755</x:v>
      </x:c>
      <x:c r="W47" s="17" t="str">
        <x:v>trilinear_world_xyz</x:v>
      </x:c>
      <x:c r="X47" s="17" t="str">
        <x:v>dx=5m smoke run; z=2m lies between ground and z=5m layer</x:v>
      </x:c>
      <x:c r="Y47" s="16" t="n">
        <x:f>IF(Q47=0,"",V47/Q47)</x:f>
        <x:v>0.06365702339318753</x:v>
      </x:c>
    </x:row>
    <x:row r="48">
      <x:c r="A48" s="13" t="n">
        <x:v>47</x:v>
      </x:c>
      <x:c r="B48" s="13" t="str">
        <x:v>ac</x:v>
      </x:c>
      <x:c r="C48" s="13" t="str">
        <x:v>N</x:v>
      </x:c>
      <x:c r="D48" s="14" t="n">
        <x:v>-96.5</x:v>
      </x:c>
      <x:c r="E48" s="14" t="n">
        <x:v>-59.5</x:v>
      </x:c>
      <x:c r="F48" s="14" t="n">
        <x:v>2</x:v>
      </x:c>
      <x:c r="G48" s="14" t="n">
        <x:v>40.7</x:v>
      </x:c>
      <x:c r="H48" s="14" t="n">
        <x:v>88.1</x:v>
      </x:c>
      <x:c r="I48" s="14" t="n">
        <x:v>0.4</x:v>
      </x:c>
      <x:c r="J48" s="14" t="n">
        <x:v>41</x:v>
      </x:c>
      <x:c r="K48" s="14" t="n">
        <x:v>88</x:v>
      </x:c>
      <x:c r="L48" s="14" t="n">
        <x:v>0</x:v>
      </x:c>
      <x:c r="M48" s="14" t="n">
        <x:v>0.020932780572085422</x:v>
      </x:c>
      <x:c r="N48" s="14" t="n">
        <x:f>M48*'Assumptions'!$B$8</x:f>
        <x:v>0.8223015819020086</x:v>
      </x:c>
      <x:c r="O48" s="14" t="n">
        <x:f>N48/'Assumptions'!$B$6</x:f>
        <x:v>0.2093278057208542</x:v>
      </x:c>
      <x:c r="P48" s="14" t="n">
        <x:v>0.6753244083788912</x:v>
      </x:c>
      <x:c r="Q48" s="15" t="n">
        <x:v>0.2</x:v>
      </x:c>
      <x:c r="R48" s="14" t="n">
        <x:f>Q48*'Assumptions'!$B$6</x:f>
        <x:v>0.7856592</x:v>
      </x:c>
      <x:c r="S48" s="14" t="n">
        <x:f>N48-R48</x:f>
        <x:v>0.036642381902008636</x:v>
      </x:c>
      <x:c r="T48" s="14" t="n">
        <x:f>ABS(S48)</x:f>
        <x:v>0.036642381902008636</x:v>
      </x:c>
      <x:c r="U48" s="14" t="n">
        <x:f>O48-Q48</x:f>
        <x:v>0.009327805720854176</x:v>
      </x:c>
      <x:c r="V48" s="14" t="n">
        <x:f>ABS(U48)</x:f>
        <x:v>0.009327805720854176</x:v>
      </x:c>
      <x:c r="W48" s="17" t="str">
        <x:v>trilinear_world_xyz</x:v>
      </x:c>
      <x:c r="X48" s="17" t="str">
        <x:v>dx=5m smoke run; z=2m lies between ground and z=5m layer</x:v>
      </x:c>
      <x:c r="Y48" s="16" t="n">
        <x:f>IF(Q48=0,"",V48/Q48)</x:f>
        <x:v>0.04663902860427088</x:v>
      </x:c>
    </x:row>
    <x:row r="49">
      <x:c r="A49" s="13" t="n">
        <x:v>48</x:v>
      </x:c>
      <x:c r="B49" s="13" t="str">
        <x:v>ac</x:v>
      </x:c>
      <x:c r="C49" s="13" t="str">
        <x:v>N</x:v>
      </x:c>
      <x:c r="D49" s="14" t="n">
        <x:v>-77</x:v>
      </x:c>
      <x:c r="E49" s="14" t="n">
        <x:v>-59</x:v>
      </x:c>
      <x:c r="F49" s="14" t="n">
        <x:v>2</x:v>
      </x:c>
      <x:c r="G49" s="14" t="n">
        <x:v>44.6</x:v>
      </x:c>
      <x:c r="H49" s="14" t="n">
        <x:v>88.2</x:v>
      </x:c>
      <x:c r="I49" s="14" t="n">
        <x:v>0.4</x:v>
      </x:c>
      <x:c r="J49" s="14" t="n">
        <x:v>45</x:v>
      </x:c>
      <x:c r="K49" s="14" t="n">
        <x:v>88</x:v>
      </x:c>
      <x:c r="L49" s="14" t="n">
        <x:v>0</x:v>
      </x:c>
      <x:c r="M49" s="14" t="n">
        <x:v>0.01297099370261155</x:v>
      </x:c>
      <x:c r="N49" s="14" t="n">
        <x:f>M49*'Assumptions'!$B$8</x:f>
        <x:v>0.5095390267799413</x:v>
      </x:c>
      <x:c r="O49" s="14" t="n">
        <x:f>N49/'Assumptions'!$B$6</x:f>
        <x:v>0.12970993702611547</x:v>
      </x:c>
      <x:c r="P49" s="14" t="n">
        <x:v>0.5063603634050933</x:v>
      </x:c>
      <x:c r="Q49" s="15" t="n">
        <x:v>0.36</x:v>
      </x:c>
      <x:c r="R49" s="14" t="n">
        <x:f>Q49*'Assumptions'!$B$6</x:f>
        <x:v>1.4141865599999999</x:v>
      </x:c>
      <x:c r="S49" s="14" t="n">
        <x:f>N49-R49</x:f>
        <x:v>-0.9046475332200585</x:v>
      </x:c>
      <x:c r="T49" s="14" t="n">
        <x:f>ABS(S49)</x:f>
        <x:v>0.9046475332200585</x:v>
      </x:c>
      <x:c r="U49" s="14" t="n">
        <x:f>O49-Q49</x:f>
        <x:v>-0.23029006297388452</x:v>
      </x:c>
      <x:c r="V49" s="14" t="n">
        <x:f>ABS(U49)</x:f>
        <x:v>0.23029006297388452</x:v>
      </x:c>
      <x:c r="W49" s="17" t="str">
        <x:v>trilinear_world_xyz</x:v>
      </x:c>
      <x:c r="X49" s="17" t="str">
        <x:v>dx=5m smoke run; z=2m lies between ground and z=5m layer</x:v>
      </x:c>
      <x:c r="Y49" s="16" t="n">
        <x:f>IF(Q49=0,"",V49/Q49)</x:f>
        <x:v>0.6396946193719014</x:v>
      </x:c>
    </x:row>
    <x:row r="50">
      <x:c r="A50" s="13" t="n">
        <x:v>49</x:v>
      </x:c>
      <x:c r="B50" s="13" t="str">
        <x:v>ac</x:v>
      </x:c>
      <x:c r="C50" s="13" t="str">
        <x:v>N</x:v>
      </x:c>
      <x:c r="D50" s="14" t="n">
        <x:v>-59.5</x:v>
      </x:c>
      <x:c r="E50" s="14" t="n">
        <x:v>-51.5</x:v>
      </x:c>
      <x:c r="F50" s="14" t="n">
        <x:v>2</x:v>
      </x:c>
      <x:c r="G50" s="14" t="n">
        <x:v>48.1</x:v>
      </x:c>
      <x:c r="H50" s="14" t="n">
        <x:v>89.7</x:v>
      </x:c>
      <x:c r="I50" s="14" t="n">
        <x:v>0.4</x:v>
      </x:c>
      <x:c r="J50" s="14" t="n">
        <x:v>48</x:v>
      </x:c>
      <x:c r="K50" s="14" t="n">
        <x:v>90</x:v>
      </x:c>
      <x:c r="L50" s="14" t="n">
        <x:v>0</x:v>
      </x:c>
      <x:c r="M50" s="14" t="n">
        <x:v>0.020064549854665322</x:v>
      </x:c>
      <x:c r="N50" s="14" t="n">
        <x:f>M50*'Assumptions'!$B$8</x:f>
        <x:v>0.7881949093588235</x:v>
      </x:c>
      <x:c r="O50" s="14" t="n">
        <x:f>N50/'Assumptions'!$B$6</x:f>
        <x:v>0.20064549854665317</x:v>
      </x:c>
      <x:c r="P50" s="14" t="n">
        <x:v>0.6318419101764466</x:v>
      </x:c>
      <x:c r="Q50" s="15" t="n">
        <x:v>0.3</x:v>
      </x:c>
      <x:c r="R50" s="14" t="n">
        <x:f>Q50*'Assumptions'!$B$6</x:f>
        <x:v>1.1784888</x:v>
      </x:c>
      <x:c r="S50" s="14" t="n">
        <x:f>N50-R50</x:f>
        <x:v>-0.3902938906411765</x:v>
      </x:c>
      <x:c r="T50" s="14" t="n">
        <x:f>ABS(S50)</x:f>
        <x:v>0.3902938906411765</x:v>
      </x:c>
      <x:c r="U50" s="14" t="n">
        <x:f>O50-Q50</x:f>
        <x:v>-0.09935450145334682</x:v>
      </x:c>
      <x:c r="V50" s="14" t="n">
        <x:f>ABS(U50)</x:f>
        <x:v>0.09935450145334682</x:v>
      </x:c>
      <x:c r="W50" s="17" t="str">
        <x:v>trilinear_world_xyz</x:v>
      </x:c>
      <x:c r="X50" s="17" t="str">
        <x:v>dx=5m smoke run; z=2m lies between ground and z=5m layer</x:v>
      </x:c>
      <x:c r="Y50" s="16" t="n">
        <x:f>IF(Q50=0,"",V50/Q50)</x:f>
        <x:v>0.3311816715111561</x:v>
      </x:c>
    </x:row>
    <x:row r="51">
      <x:c r="A51" s="13" t="n">
        <x:v>50</x:v>
      </x:c>
      <x:c r="B51" s="13" t="str">
        <x:v>ac</x:v>
      </x:c>
      <x:c r="C51" s="13" t="str">
        <x:v>N</x:v>
      </x:c>
      <x:c r="D51" s="14" t="n">
        <x:v>-45.5</x:v>
      </x:c>
      <x:c r="E51" s="14" t="n">
        <x:v>-45</x:v>
      </x:c>
      <x:c r="F51" s="14" t="n">
        <x:v>2</x:v>
      </x:c>
      <x:c r="G51" s="14" t="n">
        <x:v>50.9</x:v>
      </x:c>
      <x:c r="H51" s="14" t="n">
        <x:v>91</x:v>
      </x:c>
      <x:c r="I51" s="14" t="n">
        <x:v>0.4</x:v>
      </x:c>
      <x:c r="J51" s="14" t="n">
        <x:v>51</x:v>
      </x:c>
      <x:c r="K51" s="14" t="n">
        <x:v>91</x:v>
      </x:c>
      <x:c r="L51" s="14" t="n">
        <x:v>0</x:v>
      </x:c>
      <x:c r="M51" s="14" t="n">
        <x:v>0.028010813491294202</x:v>
      </x:c>
      <x:c r="N51" s="14" t="n">
        <x:f>M51*'Assumptions'!$B$8</x:f>
        <x:v>1.1003476659459703</x:v>
      </x:c>
      <x:c r="O51" s="14" t="n">
        <x:f>N51/'Assumptions'!$B$6</x:f>
        <x:v>0.28010813491294195</x:v>
      </x:c>
      <x:c r="P51" s="14" t="n">
        <x:v>0.8140275359170968</x:v>
      </x:c>
      <x:c r="Q51" s="15" t="n">
        <x:v>0.26</x:v>
      </x:c>
      <x:c r="R51" s="14" t="n">
        <x:f>Q51*'Assumptions'!$B$6</x:f>
        <x:v>1.02135696</x:v>
      </x:c>
      <x:c r="S51" s="14" t="n">
        <x:f>N51-R51</x:f>
        <x:v>0.07899070594597024</x:v>
      </x:c>
      <x:c r="T51" s="14" t="n">
        <x:f>ABS(S51)</x:f>
        <x:v>0.07899070594597024</x:v>
      </x:c>
      <x:c r="U51" s="14" t="n">
        <x:f>O51-Q51</x:f>
        <x:v>0.020108134912941944</x:v>
      </x:c>
      <x:c r="V51" s="14" t="n">
        <x:f>ABS(U51)</x:f>
        <x:v>0.020108134912941944</x:v>
      </x:c>
      <x:c r="W51" s="17" t="str">
        <x:v>trilinear_world_xyz</x:v>
      </x:c>
      <x:c r="X51" s="17" t="str">
        <x:v>dx=5m smoke run; z=2m lies between ground and z=5m layer</x:v>
      </x:c>
      <x:c r="Y51" s="16" t="n">
        <x:f>IF(Q51=0,"",V51/Q51)</x:f>
        <x:v>0.0773389804343921</x:v>
      </x:c>
    </x:row>
    <x:row r="52">
      <x:c r="A52" s="13" t="n">
        <x:v>51</x:v>
      </x:c>
      <x:c r="B52" s="13" t="str">
        <x:v>ac</x:v>
      </x:c>
      <x:c r="C52" s="13" t="str">
        <x:v>N</x:v>
      </x:c>
      <x:c r="D52" s="14" t="n">
        <x:v>-24.5</x:v>
      </x:c>
      <x:c r="E52" s="14" t="n">
        <x:v>-19.5</x:v>
      </x:c>
      <x:c r="F52" s="14" t="n">
        <x:v>2</x:v>
      </x:c>
      <x:c r="G52" s="14" t="n">
        <x:v>55.1</x:v>
      </x:c>
      <x:c r="H52" s="14" t="n">
        <x:v>96.1</x:v>
      </x:c>
      <x:c r="I52" s="14" t="n">
        <x:v>0.4</x:v>
      </x:c>
      <x:c r="J52" s="14" t="n">
        <x:v>55</x:v>
      </x:c>
      <x:c r="K52" s="14" t="n">
        <x:v>96</x:v>
      </x:c>
      <x:c r="L52" s="14" t="n">
        <x:v>0</x:v>
      </x:c>
      <x:c r="M52" s="14" t="n">
        <x:v>0.028369910831948043</x:v>
      </x:c>
      <x:c r="N52" s="14" t="n">
        <x:f>M52*'Assumptions'!$B$8</x:f>
        <x:v>1.1144540724149816</x:v>
      </x:c>
      <x:c r="O52" s="14" t="n">
        <x:f>N52/'Assumptions'!$B$6</x:f>
        <x:v>0.2836991083194804</x:v>
      </x:c>
      <x:c r="P52" s="14" t="n">
        <x:v>0.8198053968682132</x:v>
      </x:c>
      <x:c r="Q52" s="15" t="n">
        <x:v>0.69</x:v>
      </x:c>
      <x:c r="R52" s="14" t="n">
        <x:f>Q52*'Assumptions'!$B$6</x:f>
        <x:v>2.71052424</x:v>
      </x:c>
      <x:c r="S52" s="14" t="n">
        <x:f>N52-R52</x:f>
        <x:v>-1.5960701675850182</x:v>
      </x:c>
      <x:c r="T52" s="14" t="n">
        <x:f>ABS(S52)</x:f>
        <x:v>1.5960701675850182</x:v>
      </x:c>
      <x:c r="U52" s="14" t="n">
        <x:f>O52-Q52</x:f>
        <x:v>-0.4063008916805195</x:v>
      </x:c>
      <x:c r="V52" s="14" t="n">
        <x:f>ABS(U52)</x:f>
        <x:v>0.4063008916805195</x:v>
      </x:c>
      <x:c r="W52" s="17" t="str">
        <x:v>trilinear_world_xyz</x:v>
      </x:c>
      <x:c r="X52" s="17" t="str">
        <x:v>dx=5m smoke run; z=2m lies between ground and z=5m layer</x:v>
      </x:c>
      <x:c r="Y52" s="16" t="n">
        <x:f>IF(Q52=0,"",V52/Q52)</x:f>
        <x:v>0.588841872000753</x:v>
      </x:c>
    </x:row>
    <x:row r="53">
      <x:c r="A53" s="13" t="n">
        <x:v>52</x:v>
      </x:c>
      <x:c r="B53" s="13" t="str">
        <x:v>ac</x:v>
      </x:c>
      <x:c r="C53" s="13" t="str">
        <x:v>N</x:v>
      </x:c>
      <x:c r="D53" s="14" t="n">
        <x:v>-31</x:v>
      </x:c>
      <x:c r="E53" s="14" t="n">
        <x:v>-23.5</x:v>
      </x:c>
      <x:c r="F53" s="14" t="n">
        <x:v>2</x:v>
      </x:c>
      <x:c r="G53" s="14" t="n">
        <x:v>53.8</x:v>
      </x:c>
      <x:c r="H53" s="14" t="n">
        <x:v>95.3</x:v>
      </x:c>
      <x:c r="I53" s="14" t="n">
        <x:v>0.4</x:v>
      </x:c>
      <x:c r="J53" s="14" t="n">
        <x:v>54</x:v>
      </x:c>
      <x:c r="K53" s="14" t="n">
        <x:v>95</x:v>
      </x:c>
      <x:c r="L53" s="14" t="n">
        <x:v>0</x:v>
      </x:c>
      <x:c r="M53" s="14" t="n">
        <x:v>0.028876629180299054</x:v>
      </x:c>
      <x:c r="N53" s="14" t="n">
        <x:f>M53*'Assumptions'!$B$8</x:f>
        <x:v>1.1343594690245205</x:v>
      </x:c>
      <x:c r="O53" s="14" t="n">
        <x:f>N53/'Assumptions'!$B$6</x:f>
        <x:v>0.2887662918029905</x:v>
      </x:c>
      <x:c r="P53" s="14" t="n">
        <x:v>0.8287733554828635</x:v>
      </x:c>
      <x:c r="Q53" s="15" t="n">
        <x:v>0.63</x:v>
      </x:c>
      <x:c r="R53" s="14" t="n">
        <x:f>Q53*'Assumptions'!$B$6</x:f>
        <x:v>2.47482648</x:v>
      </x:c>
      <x:c r="S53" s="14" t="n">
        <x:f>N53-R53</x:f>
        <x:v>-1.3404670109754795</x:v>
      </x:c>
      <x:c r="T53" s="14" t="n">
        <x:f>ABS(S53)</x:f>
        <x:v>1.3404670109754795</x:v>
      </x:c>
      <x:c r="U53" s="14" t="n">
        <x:f>O53-Q53</x:f>
        <x:v>-0.3412337081970095</x:v>
      </x:c>
      <x:c r="V53" s="14" t="n">
        <x:f>ABS(U53)</x:f>
        <x:v>0.3412337081970095</x:v>
      </x:c>
      <x:c r="W53" s="17" t="str">
        <x:v>trilinear_world_xyz</x:v>
      </x:c>
      <x:c r="X53" s="17" t="str">
        <x:v>dx=5m smoke run; z=2m lies between ground and z=5m layer</x:v>
      </x:c>
      <x:c r="Y53" s="16" t="n">
        <x:f>IF(Q53=0,"",V53/Q53)</x:f>
        <x:v>0.5416408066619198</x:v>
      </x:c>
    </x:row>
    <x:row r="54">
      <x:c r="A54" s="13" t="n">
        <x:v>53</x:v>
      </x:c>
      <x:c r="B54" s="13" t="str">
        <x:v>ac</x:v>
      </x:c>
      <x:c r="C54" s="13" t="str">
        <x:v>N</x:v>
      </x:c>
      <x:c r="D54" s="14" t="n">
        <x:v>-24.5</x:v>
      </x:c>
      <x:c r="E54" s="14" t="n">
        <x:v>-38</x:v>
      </x:c>
      <x:c r="F54" s="14" t="n">
        <x:v>2</x:v>
      </x:c>
      <x:c r="G54" s="14" t="n">
        <x:v>55.1</x:v>
      </x:c>
      <x:c r="H54" s="14" t="n">
        <x:v>92.4</x:v>
      </x:c>
      <x:c r="I54" s="14" t="n">
        <x:v>0.4</x:v>
      </x:c>
      <x:c r="J54" s="14" t="n">
        <x:v>55</x:v>
      </x:c>
      <x:c r="K54" s="14" t="n">
        <x:v>92</x:v>
      </x:c>
      <x:c r="L54" s="14" t="n">
        <x:v>0</x:v>
      </x:c>
      <x:c r="M54" s="14" t="n">
        <x:v>0.027954537630797353</x:v>
      </x:c>
      <x:c r="N54" s="14" t="n">
        <x:f>M54*'Assumptions'!$B$8</x:f>
        <x:v>1.098136983569107</x:v>
      </x:c>
      <x:c r="O54" s="14" t="n">
        <x:f>N54/'Assumptions'!$B$6</x:f>
        <x:v>0.2795453763079735</x:v>
      </x:c>
      <x:c r="P54" s="14" t="n">
        <x:v>0.811392392974109</x:v>
      </x:c>
      <x:c r="Q54" s="15" t="n">
        <x:v>0.57</x:v>
      </x:c>
      <x:c r="R54" s="14" t="n">
        <x:f>Q54*'Assumptions'!$B$6</x:f>
        <x:v>2.2391287199999996</x:v>
      </x:c>
      <x:c r="S54" s="14" t="n">
        <x:f>N54-R54</x:f>
        <x:v>-1.1409917364308926</x:v>
      </x:c>
      <x:c r="T54" s="14" t="n">
        <x:f>ABS(S54)</x:f>
        <x:v>1.1409917364308926</x:v>
      </x:c>
      <x:c r="U54" s="14" t="n">
        <x:f>O54-Q54</x:f>
        <x:v>-0.29045462369202646</x:v>
      </x:c>
      <x:c r="V54" s="14" t="n">
        <x:f>ABS(U54)</x:f>
        <x:v>0.29045462369202646</x:v>
      </x:c>
      <x:c r="W54" s="17" t="str">
        <x:v>trilinear_world_xyz</x:v>
      </x:c>
      <x:c r="X54" s="17" t="str">
        <x:v>dx=5m smoke run; z=2m lies between ground and z=5m layer</x:v>
      </x:c>
      <x:c r="Y54" s="16" t="n">
        <x:f>IF(Q54=0,"",V54/Q54)</x:f>
        <x:v>0.5095695152491693</x:v>
      </x:c>
    </x:row>
    <x:row r="55">
      <x:c r="A55" s="13" t="n">
        <x:v>54</x:v>
      </x:c>
      <x:c r="B55" s="13" t="str">
        <x:v>ac</x:v>
      </x:c>
      <x:c r="C55" s="13" t="str">
        <x:v>N</x:v>
      </x:c>
      <x:c r="D55" s="14" t="n">
        <x:v>-20</x:v>
      </x:c>
      <x:c r="E55" s="14" t="n">
        <x:v>-30.5</x:v>
      </x:c>
      <x:c r="F55" s="14" t="n">
        <x:v>2</x:v>
      </x:c>
      <x:c r="G55" s="14" t="n">
        <x:v>56</x:v>
      </x:c>
      <x:c r="H55" s="14" t="n">
        <x:v>93.9</x:v>
      </x:c>
      <x:c r="I55" s="14" t="n">
        <x:v>0.4</x:v>
      </x:c>
      <x:c r="J55" s="14" t="n">
        <x:v>56</x:v>
      </x:c>
      <x:c r="K55" s="14" t="n">
        <x:v>94</x:v>
      </x:c>
      <x:c r="L55" s="14" t="n">
        <x:v>0</x:v>
      </x:c>
      <x:c r="M55" s="14" t="n">
        <x:v>0.027953590566703625</x:v>
      </x:c>
      <x:c r="N55" s="14" t="n">
        <x:f>M55*'Assumptions'!$B$8</x:f>
        <x:v>1.0980997800881958</x:v>
      </x:c>
      <x:c r="O55" s="14" t="n">
        <x:f>N55/'Assumptions'!$B$6</x:f>
        <x:v>0.27953590566703623</x:v>
      </x:c>
      <x:c r="P55" s="14" t="n">
        <x:v>0.8112801065630584</x:v>
      </x:c>
      <x:c r="Q55" s="15" t="n">
        <x:v>0.59</x:v>
      </x:c>
      <x:c r="R55" s="14" t="n">
        <x:f>Q55*'Assumptions'!$B$6</x:f>
        <x:v>2.31769464</x:v>
      </x:c>
      <x:c r="S55" s="14" t="n">
        <x:f>N55-R55</x:f>
        <x:v>-1.2195948599118043</x:v>
      </x:c>
      <x:c r="T55" s="14" t="n">
        <x:f>ABS(S55)</x:f>
        <x:v>1.2195948599118043</x:v>
      </x:c>
      <x:c r="U55" s="14" t="n">
        <x:f>O55-Q55</x:f>
        <x:v>-0.31046409433296374</x:v>
      </x:c>
      <x:c r="V55" s="14" t="n">
        <x:f>ABS(U55)</x:f>
        <x:v>0.31046409433296374</x:v>
      </x:c>
      <x:c r="W55" s="17" t="str">
        <x:v>trilinear_world_xyz</x:v>
      </x:c>
      <x:c r="X55" s="17" t="str">
        <x:v>dx=5m smoke run; z=2m lies between ground and z=5m layer</x:v>
      </x:c>
      <x:c r="Y55" s="16" t="n">
        <x:f>IF(Q55=0,"",V55/Q55)</x:f>
        <x:v>0.5262103293779047</x:v>
      </x:c>
    </x:row>
    <x:row r="56">
      <x:c r="A56" s="13" t="n">
        <x:v>55</x:v>
      </x:c>
      <x:c r="B56" s="13" t="str">
        <x:v>ac</x:v>
      </x:c>
      <x:c r="C56" s="13" t="str">
        <x:v>N</x:v>
      </x:c>
      <x:c r="D56" s="14" t="n">
        <x:v>-11</x:v>
      </x:c>
      <x:c r="E56" s="14" t="n">
        <x:v>-50</x:v>
      </x:c>
      <x:c r="F56" s="14" t="n">
        <x:v>2</x:v>
      </x:c>
      <x:c r="G56" s="14" t="n">
        <x:v>57.8</x:v>
      </x:c>
      <x:c r="H56" s="14" t="n">
        <x:v>90</x:v>
      </x:c>
      <x:c r="I56" s="14" t="n">
        <x:v>0.4</x:v>
      </x:c>
      <x:c r="J56" s="14" t="n">
        <x:v>58</x:v>
      </x:c>
      <x:c r="K56" s="14" t="n">
        <x:v>90</x:v>
      </x:c>
      <x:c r="L56" s="14" t="n">
        <x:v>0</x:v>
      </x:c>
      <x:c r="M56" s="14" t="n">
        <x:v>0.026797905157930853</x:v>
      </x:c>
      <x:c r="N56" s="14" t="n">
        <x:f>M56*'Assumptions'!$B$8</x:f>
        <x:v>1.0527010364027913</x:v>
      </x:c>
      <x:c r="O56" s="14" t="n">
        <x:f>N56/'Assumptions'!$B$6</x:f>
        <x:v>0.2679790515793085</x:v>
      </x:c>
      <x:c r="P56" s="14" t="n">
        <x:v>0.788988532569415</x:v>
      </x:c>
      <x:c r="Q56" s="15" t="n">
        <x:v>0.38</x:v>
      </x:c>
      <x:c r="R56" s="14" t="n">
        <x:f>Q56*'Assumptions'!$B$6</x:f>
        <x:v>1.49275248</x:v>
      </x:c>
      <x:c r="S56" s="14" t="n">
        <x:f>N56-R56</x:f>
        <x:v>-0.4400514435972087</x:v>
      </x:c>
      <x:c r="T56" s="14" t="n">
        <x:f>ABS(S56)</x:f>
        <x:v>0.4400514435972087</x:v>
      </x:c>
      <x:c r="U56" s="14" t="n">
        <x:f>O56-Q56</x:f>
        <x:v>-0.11202094842069149</x:v>
      </x:c>
      <x:c r="V56" s="14" t="n">
        <x:f>ABS(U56)</x:f>
        <x:v>0.11202094842069149</x:v>
      </x:c>
      <x:c r="W56" s="17" t="str">
        <x:v>trilinear_world_xyz</x:v>
      </x:c>
      <x:c r="X56" s="17" t="str">
        <x:v>dx=5m smoke run; z=2m lies between ground and z=5m layer</x:v>
      </x:c>
      <x:c r="Y56" s="16" t="n">
        <x:f>IF(Q56=0,"",V56/Q56)</x:f>
        <x:v>0.2947919695281355</x:v>
      </x:c>
    </x:row>
    <x:row r="57">
      <x:c r="A57" s="13" t="n">
        <x:v>56</x:v>
      </x:c>
      <x:c r="B57" s="13" t="str">
        <x:v>ac</x:v>
      </x:c>
      <x:c r="C57" s="13" t="str">
        <x:v>N</x:v>
      </x:c>
      <x:c r="D57" s="14" t="n">
        <x:v>38</x:v>
      </x:c>
      <x:c r="E57" s="14" t="n">
        <x:v>5.5</x:v>
      </x:c>
      <x:c r="F57" s="14" t="n">
        <x:v>2</x:v>
      </x:c>
      <x:c r="G57" s="14" t="n">
        <x:v>67.6</x:v>
      </x:c>
      <x:c r="H57" s="14" t="n">
        <x:v>101.1</x:v>
      </x:c>
      <x:c r="I57" s="14" t="n">
        <x:v>0.4</x:v>
      </x:c>
      <x:c r="J57" s="14" t="n">
        <x:v>68</x:v>
      </x:c>
      <x:c r="K57" s="14" t="n">
        <x:v>101</x:v>
      </x:c>
      <x:c r="L57" s="14" t="n">
        <x:v>0</x:v>
      </x:c>
      <x:c r="M57" s="14" t="n">
        <x:v>0.0280227668370002</x:v>
      </x:c>
      <x:c r="N57" s="14" t="n">
        <x:f>M57*'Assumptions'!$B$8</x:f>
        <x:v>1.1008172287472053</x:v>
      </x:c>
      <x:c r="O57" s="14" t="n">
        <x:f>N57/'Assumptions'!$B$6</x:f>
        <x:v>0.280227668370002</x:v>
      </x:c>
      <x:c r="P57" s="14" t="n">
        <x:v>0.8025576324130166</x:v>
      </x:c>
      <x:c r="Q57" s="15" t="n">
        <x:v>0.67</x:v>
      </x:c>
      <x:c r="R57" s="14" t="n">
        <x:f>Q57*'Assumptions'!$B$6</x:f>
        <x:v>2.6319583200000003</x:v>
      </x:c>
      <x:c r="S57" s="14" t="n">
        <x:f>N57-R57</x:f>
        <x:v>-1.531141091252795</x:v>
      </x:c>
      <x:c r="T57" s="14" t="n">
        <x:f>ABS(S57)</x:f>
        <x:v>1.531141091252795</x:v>
      </x:c>
      <x:c r="U57" s="14" t="n">
        <x:f>O57-Q57</x:f>
        <x:v>-0.389772331629998</x:v>
      </x:c>
      <x:c r="V57" s="14" t="n">
        <x:f>ABS(U57)</x:f>
        <x:v>0.389772331629998</x:v>
      </x:c>
      <x:c r="W57" s="17" t="str">
        <x:v>trilinear_world_xyz</x:v>
      </x:c>
      <x:c r="X57" s="17" t="str">
        <x:v>dx=5m smoke run; z=2m lies between ground and z=5m layer</x:v>
      </x:c>
      <x:c r="Y57" s="16" t="n">
        <x:f>IF(Q57=0,"",V57/Q57)</x:f>
        <x:v>0.5817497487014895</x:v>
      </x:c>
    </x:row>
    <x:row r="58">
      <x:c r="A58" s="13" t="n">
        <x:v>57</x:v>
      </x:c>
      <x:c r="B58" s="13" t="str">
        <x:v>ac</x:v>
      </x:c>
      <x:c r="C58" s="13" t="str">
        <x:v>N</x:v>
      </x:c>
      <x:c r="D58" s="14" t="n">
        <x:v>74</x:v>
      </x:c>
      <x:c r="E58" s="14" t="n">
        <x:v>22</x:v>
      </x:c>
      <x:c r="F58" s="14" t="n">
        <x:v>2</x:v>
      </x:c>
      <x:c r="G58" s="14" t="n">
        <x:v>74.8</x:v>
      </x:c>
      <x:c r="H58" s="14" t="n">
        <x:v>104.4</x:v>
      </x:c>
      <x:c r="I58" s="14" t="n">
        <x:v>0.4</x:v>
      </x:c>
      <x:c r="J58" s="14" t="n">
        <x:v>75</x:v>
      </x:c>
      <x:c r="K58" s="14" t="n">
        <x:v>104</x:v>
      </x:c>
      <x:c r="L58" s="14" t="n">
        <x:v>0</x:v>
      </x:c>
      <x:c r="M58" s="14" t="n">
        <x:v>0.028132519987908184</x:v>
      </x:c>
      <x:c r="N58" s="14" t="n">
        <x:f>M58*'Assumptions'!$B$8</x:f>
        <x:v>1.1051286573841976</x:v>
      </x:c>
      <x:c r="O58" s="14" t="n">
        <x:f>N58/'Assumptions'!$B$6</x:f>
        <x:v>0.28132519987908183</x:v>
      </x:c>
      <x:c r="P58" s="14" t="n">
        <x:v>0.7989105857533954</x:v>
      </x:c>
      <x:c r="Q58" s="15" t="n">
        <x:v>0.34</x:v>
      </x:c>
      <x:c r="R58" s="14" t="n">
        <x:f>Q58*'Assumptions'!$B$6</x:f>
        <x:v>1.3356206400000001</x:v>
      </x:c>
      <x:c r="S58" s="14" t="n">
        <x:f>N58-R58</x:f>
        <x:v>-0.2304919826158025</x:v>
      </x:c>
      <x:c r="T58" s="14" t="n">
        <x:f>ABS(S58)</x:f>
        <x:v>0.2304919826158025</x:v>
      </x:c>
      <x:c r="U58" s="14" t="n">
        <x:f>O58-Q58</x:f>
        <x:v>-0.05867480012091819</x:v>
      </x:c>
      <x:c r="V58" s="14" t="n">
        <x:f>ABS(U58)</x:f>
        <x:v>0.05867480012091819</x:v>
      </x:c>
      <x:c r="W58" s="17" t="str">
        <x:v>trilinear_world_xyz</x:v>
      </x:c>
      <x:c r="X58" s="17" t="str">
        <x:v>dx=5m smoke run; z=2m lies between ground and z=5m layer</x:v>
      </x:c>
      <x:c r="Y58" s="16" t="n">
        <x:f>IF(Q58=0,"",V58/Q58)</x:f>
        <x:v>0.1725729415321123</x:v>
      </x:c>
    </x:row>
    <x:row r="59">
      <x:c r="A59" s="13" t="n">
        <x:v>58</x:v>
      </x:c>
      <x:c r="B59" s="13" t="str">
        <x:v>ac</x:v>
      </x:c>
      <x:c r="C59" s="13" t="str">
        <x:v>N</x:v>
      </x:c>
      <x:c r="D59" s="14" t="n">
        <x:v>63</x:v>
      </x:c>
      <x:c r="E59" s="14" t="n">
        <x:v>0.5</x:v>
      </x:c>
      <x:c r="F59" s="14" t="n">
        <x:v>2</x:v>
      </x:c>
      <x:c r="G59" s="14" t="n">
        <x:v>72.6</x:v>
      </x:c>
      <x:c r="H59" s="14" t="n">
        <x:v>100.1</x:v>
      </x:c>
      <x:c r="I59" s="14" t="n">
        <x:v>0.4</x:v>
      </x:c>
      <x:c r="J59" s="14" t="n">
        <x:v>73</x:v>
      </x:c>
      <x:c r="K59" s="14" t="n">
        <x:v>100</x:v>
      </x:c>
      <x:c r="L59" s="14" t="n">
        <x:v>0</x:v>
      </x:c>
      <x:c r="M59" s="14" t="n">
        <x:v>0.027611290346482666</x:v>
      </x:c>
      <x:c r="N59" s="14" t="n">
        <x:f>M59*'Assumptions'!$B$8</x:f>
        <x:v>1.0846532142292646</x:v>
      </x:c>
      <x:c r="O59" s="14" t="n">
        <x:f>N59/'Assumptions'!$B$6</x:f>
        <x:v>0.27611290346482664</x:v>
      </x:c>
      <x:c r="P59" s="14" t="n">
        <x:v>0.7940137444716794</x:v>
      </x:c>
      <x:c r="Q59" s="15" t="n">
        <x:v>0.85</x:v>
      </x:c>
      <x:c r="R59" s="14" t="n">
        <x:f>Q59*'Assumptions'!$B$6</x:f>
        <x:v>3.3390516</x:v>
      </x:c>
      <x:c r="S59" s="14" t="n">
        <x:f>N59-R59</x:f>
        <x:v>-2.2543983857707355</x:v>
      </x:c>
      <x:c r="T59" s="14" t="n">
        <x:f>ABS(S59)</x:f>
        <x:v>2.2543983857707355</x:v>
      </x:c>
      <x:c r="U59" s="14" t="n">
        <x:f>O59-Q59</x:f>
        <x:v>-0.5738870965351733</x:v>
      </x:c>
      <x:c r="V59" s="14" t="n">
        <x:f>ABS(U59)</x:f>
        <x:v>0.5738870965351733</x:v>
      </x:c>
      <x:c r="W59" s="17" t="str">
        <x:v>trilinear_world_xyz</x:v>
      </x:c>
      <x:c r="X59" s="17" t="str">
        <x:v>dx=5m smoke run; z=2m lies between ground and z=5m layer</x:v>
      </x:c>
      <x:c r="Y59" s="16" t="n">
        <x:f>IF(Q59=0,"",V59/Q59)</x:f>
        <x:v>0.6751612900413804</x:v>
      </x:c>
    </x:row>
    <x:row r="60">
      <x:c r="A60" s="13" t="n">
        <x:v>59</x:v>
      </x:c>
      <x:c r="B60" s="13" t="str">
        <x:v>ac</x:v>
      </x:c>
      <x:c r="C60" s="13" t="str">
        <x:v>N</x:v>
      </x:c>
      <x:c r="D60" s="14" t="n">
        <x:v>50.5</x:v>
      </x:c>
      <x:c r="E60" s="14" t="n">
        <x:v>-22.5</x:v>
      </x:c>
      <x:c r="F60" s="14" t="n">
        <x:v>2</x:v>
      </x:c>
      <x:c r="G60" s="14" t="n">
        <x:v>70.1</x:v>
      </x:c>
      <x:c r="H60" s="14" t="n">
        <x:v>95.5</x:v>
      </x:c>
      <x:c r="I60" s="14" t="n">
        <x:v>0.4</x:v>
      </x:c>
      <x:c r="J60" s="14" t="n">
        <x:v>70</x:v>
      </x:c>
      <x:c r="K60" s="14" t="n">
        <x:v>96</x:v>
      </x:c>
      <x:c r="L60" s="14" t="n">
        <x:v>0</x:v>
      </x:c>
      <x:c r="M60" s="14" t="n">
        <x:v>0.026986734047773527</x:v>
      </x:c>
      <x:c r="N60" s="14" t="n">
        <x:f>M60*'Assumptions'!$B$8</x:f>
        <x:v>1.0601187941293253</x:v>
      </x:c>
      <x:c r="O60" s="14" t="n">
        <x:f>N60/'Assumptions'!$B$6</x:f>
        <x:v>0.2698673404777352</x:v>
      </x:c>
      <x:c r="P60" s="14" t="n">
        <x:v>0.7892390443483119</x:v>
      </x:c>
      <x:c r="Q60" s="15" t="n">
        <x:v>0.42</x:v>
      </x:c>
      <x:c r="R60" s="14" t="n">
        <x:f>Q60*'Assumptions'!$B$6</x:f>
        <x:v>1.64988432</x:v>
      </x:c>
      <x:c r="S60" s="14" t="n">
        <x:f>N60-R60</x:f>
        <x:v>-0.5897655258706747</x:v>
      </x:c>
      <x:c r="T60" s="14" t="n">
        <x:f>ABS(S60)</x:f>
        <x:v>0.5897655258706747</x:v>
      </x:c>
      <x:c r="U60" s="14" t="n">
        <x:f>O60-Q60</x:f>
        <x:v>-0.1501326595222648</x:v>
      </x:c>
      <x:c r="V60" s="14" t="n">
        <x:f>ABS(U60)</x:f>
        <x:v>0.1501326595222648</x:v>
      </x:c>
      <x:c r="W60" s="17" t="str">
        <x:v>trilinear_world_xyz</x:v>
      </x:c>
      <x:c r="X60" s="17" t="str">
        <x:v>dx=5m smoke run; z=2m lies between ground and z=5m layer</x:v>
      </x:c>
      <x:c r="Y60" s="16" t="n">
        <x:f>IF(Q60=0,"",V60/Q60)</x:f>
        <x:v>0.3574587131482495</x:v>
      </x:c>
    </x:row>
    <x:row r="61">
      <x:c r="A61" s="13" t="n">
        <x:v>60</x:v>
      </x:c>
      <x:c r="B61" s="13" t="str">
        <x:v>ac</x:v>
      </x:c>
      <x:c r="C61" s="13" t="str">
        <x:v>N</x:v>
      </x:c>
      <x:c r="D61" s="14" t="n">
        <x:v>88.5</x:v>
      </x:c>
      <x:c r="E61" s="14" t="n">
        <x:v>-6</x:v>
      </x:c>
      <x:c r="F61" s="14" t="n">
        <x:v>2</x:v>
      </x:c>
      <x:c r="G61" s="14" t="n">
        <x:v>77.7</x:v>
      </x:c>
      <x:c r="H61" s="14" t="n">
        <x:v>98.8</x:v>
      </x:c>
      <x:c r="I61" s="14" t="n">
        <x:v>0.4</x:v>
      </x:c>
      <x:c r="J61" s="14" t="n">
        <x:v>78</x:v>
      </x:c>
      <x:c r="K61" s="14" t="n">
        <x:v>99</x:v>
      </x:c>
      <x:c r="L61" s="14" t="n">
        <x:v>0</x:v>
      </x:c>
      <x:c r="M61" s="14" t="n">
        <x:v>0.027134595312025347</x:v>
      </x:c>
      <x:c r="N61" s="14" t="n">
        <x:f>M61*'Assumptions'!$B$8</x:f>
        <x:v>1.065927222258479</x:v>
      </x:c>
      <x:c r="O61" s="14" t="n">
        <x:f>N61/'Assumptions'!$B$6</x:f>
        <x:v>0.2713459531202534</x:v>
      </x:c>
      <x:c r="P61" s="14" t="n">
        <x:v>0.7854882494998388</x:v>
      </x:c>
      <x:c r="Q61" s="15" t="n">
        <x:v>0.73</x:v>
      </x:c>
      <x:c r="R61" s="14" t="n">
        <x:f>Q61*'Assumptions'!$B$6</x:f>
        <x:v>2.8676560799999997</x:v>
      </x:c>
      <x:c r="S61" s="14" t="n">
        <x:f>N61-R61</x:f>
        <x:v>-1.8017288577415207</x:v>
      </x:c>
      <x:c r="T61" s="14" t="n">
        <x:f>ABS(S61)</x:f>
        <x:v>1.8017288577415207</x:v>
      </x:c>
      <x:c r="U61" s="14" t="n">
        <x:f>O61-Q61</x:f>
        <x:v>-0.4586540468797466</x:v>
      </x:c>
      <x:c r="V61" s="14" t="n">
        <x:f>ABS(U61)</x:f>
        <x:v>0.4586540468797466</x:v>
      </x:c>
      <x:c r="W61" s="17" t="str">
        <x:v>trilinear_world_xyz</x:v>
      </x:c>
      <x:c r="X61" s="17" t="str">
        <x:v>dx=5m smoke run; z=2m lies between ground and z=5m layer</x:v>
      </x:c>
      <x:c r="Y61" s="16" t="n">
        <x:f>IF(Q61=0,"",V61/Q61)</x:f>
        <x:v>0.6282932149037624</x:v>
      </x:c>
    </x:row>
    <x:row r="62">
      <x:c r="A62" s="13" t="n">
        <x:v>61</x:v>
      </x:c>
      <x:c r="B62" s="13" t="str">
        <x:v>ac</x:v>
      </x:c>
      <x:c r="C62" s="13" t="str">
        <x:v>N</x:v>
      </x:c>
      <x:c r="D62" s="14" t="n">
        <x:v>31</x:v>
      </x:c>
      <x:c r="E62" s="14" t="n">
        <x:v>0</x:v>
      </x:c>
      <x:c r="F62" s="14" t="n">
        <x:v>2</x:v>
      </x:c>
      <x:c r="G62" s="14" t="n">
        <x:v>66.2</x:v>
      </x:c>
      <x:c r="H62" s="14" t="n">
        <x:v>100</x:v>
      </x:c>
      <x:c r="I62" s="14" t="n">
        <x:v>0.4</x:v>
      </x:c>
      <x:c r="J62" s="14" t="n">
        <x:v>66</x:v>
      </x:c>
      <x:c r="K62" s="14" t="n">
        <x:v>100</x:v>
      </x:c>
      <x:c r="L62" s="14" t="n">
        <x:v>0</x:v>
      </x:c>
      <x:c r="M62" s="14" t="n">
        <x:v>0.027953546808313783</x:v>
      </x:c>
      <x:c r="N62" s="14" t="n">
        <x:f>M62*'Assumptions'!$B$8</x:f>
        <x:v>1.0980980611291178</x:v>
      </x:c>
      <x:c r="O62" s="14" t="n">
        <x:f>N62/'Assumptions'!$B$6</x:f>
        <x:v>0.2795354680831378</x:v>
      </x:c>
      <x:c r="P62" s="14" t="n">
        <x:v>0.8036589568394544</x:v>
      </x:c>
      <x:c r="Q62" s="15" t="n">
        <x:v>0.54</x:v>
      </x:c>
      <x:c r="R62" s="14" t="n">
        <x:f>Q62*'Assumptions'!$B$6</x:f>
        <x:v>2.12127984</x:v>
      </x:c>
      <x:c r="S62" s="14" t="n">
        <x:f>N62-R62</x:f>
        <x:v>-1.0231817788708824</x:v>
      </x:c>
      <x:c r="T62" s="14" t="n">
        <x:f>ABS(S62)</x:f>
        <x:v>1.0231817788708824</x:v>
      </x:c>
      <x:c r="U62" s="14" t="n">
        <x:f>O62-Q62</x:f>
        <x:v>-0.26046453191686225</x:v>
      </x:c>
      <x:c r="V62" s="14" t="n">
        <x:f>ABS(U62)</x:f>
        <x:v>0.26046453191686225</x:v>
      </x:c>
      <x:c r="W62" s="17" t="str">
        <x:v>trilinear_world_xyz</x:v>
      </x:c>
      <x:c r="X62" s="17" t="str">
        <x:v>dx=5m smoke run; z=2m lies between ground and z=5m layer</x:v>
      </x:c>
      <x:c r="Y62" s="16" t="n">
        <x:f>IF(Q62=0,"",V62/Q62)</x:f>
        <x:v>0.4823417257719671</x:v>
      </x:c>
    </x:row>
    <x:row r="63">
      <x:c r="A63" s="13" t="n">
        <x:v>62</x:v>
      </x:c>
      <x:c r="B63" s="13" t="str">
        <x:v>ac</x:v>
      </x:c>
      <x:c r="C63" s="13" t="str">
        <x:v>N</x:v>
      </x:c>
      <x:c r="D63" s="14" t="n">
        <x:v>39.5</x:v>
      </x:c>
      <x:c r="E63" s="14" t="n">
        <x:v>-20</x:v>
      </x:c>
      <x:c r="F63" s="14" t="n">
        <x:v>2</x:v>
      </x:c>
      <x:c r="G63" s="14" t="n">
        <x:v>67.9</x:v>
      </x:c>
      <x:c r="H63" s="14" t="n">
        <x:v>96</x:v>
      </x:c>
      <x:c r="I63" s="14" t="n">
        <x:v>0.4</x:v>
      </x:c>
      <x:c r="J63" s="14" t="n">
        <x:v>68</x:v>
      </x:c>
      <x:c r="K63" s="14" t="n">
        <x:v>96</x:v>
      </x:c>
      <x:c r="L63" s="14" t="n">
        <x:v>0</x:v>
      </x:c>
      <x:c r="M63" s="14" t="n">
        <x:v>0.027225539466329596</x:v>
      </x:c>
      <x:c r="N63" s="14" t="n">
        <x:f>M63*'Assumptions'!$B$8</x:f>
        <x:v>1.0694997778342468</x:v>
      </x:c>
      <x:c r="O63" s="14" t="n">
        <x:f>N63/'Assumptions'!$B$6</x:f>
        <x:v>0.27225539466329596</x:v>
      </x:c>
      <x:c r="P63" s="14" t="n">
        <x:v>0.7923167233393205</x:v>
      </x:c>
      <x:c r="Q63" s="15" t="n">
        <x:v>0.69</x:v>
      </x:c>
      <x:c r="R63" s="14" t="n">
        <x:f>Q63*'Assumptions'!$B$6</x:f>
        <x:v>2.71052424</x:v>
      </x:c>
      <x:c r="S63" s="14" t="n">
        <x:f>N63-R63</x:f>
        <x:v>-1.641024462165753</x:v>
      </x:c>
      <x:c r="T63" s="14" t="n">
        <x:f>ABS(S63)</x:f>
        <x:v>1.641024462165753</x:v>
      </x:c>
      <x:c r="U63" s="14" t="n">
        <x:f>O63-Q63</x:f>
        <x:v>-0.417744605336704</x:v>
      </x:c>
      <x:c r="V63" s="14" t="n">
        <x:f>ABS(U63)</x:f>
        <x:v>0.417744605336704</x:v>
      </x:c>
      <x:c r="W63" s="17" t="str">
        <x:v>trilinear_world_xyz</x:v>
      </x:c>
      <x:c r="X63" s="17" t="str">
        <x:v>dx=5m smoke run; z=2m lies between ground and z=5m layer</x:v>
      </x:c>
      <x:c r="Y63" s="16" t="n">
        <x:f>IF(Q63=0,"",V63/Q63)</x:f>
        <x:v>0.6054269642560928</x:v>
      </x:c>
    </x:row>
    <x:row r="64">
      <x:c r="A64" s="13" t="n">
        <x:v>63</x:v>
      </x:c>
      <x:c r="B64" s="13" t="str">
        <x:v>ac</x:v>
      </x:c>
      <x:c r="C64" s="13" t="str">
        <x:v>N</x:v>
      </x:c>
      <x:c r="D64" s="14" t="n">
        <x:v>92.5</x:v>
      </x:c>
      <x:c r="E64" s="14" t="n">
        <x:v>20</x:v>
      </x:c>
      <x:c r="F64" s="14" t="n">
        <x:v>2</x:v>
      </x:c>
      <x:c r="G64" s="14" t="n">
        <x:v>78.5</x:v>
      </x:c>
      <x:c r="H64" s="14" t="n">
        <x:v>104</x:v>
      </x:c>
      <x:c r="I64" s="14" t="n">
        <x:v>0.4</x:v>
      </x:c>
      <x:c r="J64" s="14" t="n">
        <x:v>78</x:v>
      </x:c>
      <x:c r="K64" s="14" t="n">
        <x:v>104</x:v>
      </x:c>
      <x:c r="L64" s="14" t="n">
        <x:v>0</x:v>
      </x:c>
      <x:c r="M64" s="14" t="n">
        <x:v>0.02791558256179089</x:v>
      </x:c>
      <x:c r="N64" s="14" t="n">
        <x:f>M64*'Assumptions'!$B$8</x:f>
        <x:v>1.096606713151529</x:v>
      </x:c>
      <x:c r="O64" s="14" t="n">
        <x:f>N64/'Assumptions'!$B$6</x:f>
        <x:v>0.27915582561790886</x:v>
      </x:c>
      <x:c r="P64" s="14" t="n">
        <x:v>0.795425639189207</x:v>
      </x:c>
      <x:c r="Q64" s="15" t="n">
        <x:v>0.4</x:v>
      </x:c>
      <x:c r="R64" s="14" t="n">
        <x:f>Q64*'Assumptions'!$B$6</x:f>
        <x:v>1.5713184</x:v>
      </x:c>
      <x:c r="S64" s="14" t="n">
        <x:f>N64-R64</x:f>
        <x:v>-0.4747116868484711</x:v>
      </x:c>
      <x:c r="T64" s="14" t="n">
        <x:f>ABS(S64)</x:f>
        <x:v>0.4747116868484711</x:v>
      </x:c>
      <x:c r="U64" s="14" t="n">
        <x:f>O64-Q64</x:f>
        <x:v>-0.12084417438209116</x:v>
      </x:c>
      <x:c r="V64" s="14" t="n">
        <x:f>ABS(U64)</x:f>
        <x:v>0.12084417438209116</x:v>
      </x:c>
      <x:c r="W64" s="17" t="str">
        <x:v>trilinear_world_xyz</x:v>
      </x:c>
      <x:c r="X64" s="17" t="str">
        <x:v>dx=5m smoke run; z=2m lies between ground and z=5m layer</x:v>
      </x:c>
      <x:c r="Y64" s="16" t="n">
        <x:f>IF(Q64=0,"",V64/Q64)</x:f>
        <x:v>0.3021104359552279</x:v>
      </x:c>
    </x:row>
    <x:row r="65">
      <x:c r="A65" s="13" t="n">
        <x:v>64</x:v>
      </x:c>
      <x:c r="B65" s="13" t="str">
        <x:v>ac</x:v>
      </x:c>
      <x:c r="C65" s="13" t="str">
        <x:v>N</x:v>
      </x:c>
      <x:c r="D65" s="14" t="n">
        <x:v>100.5</x:v>
      </x:c>
      <x:c r="E65" s="14" t="n">
        <x:v>3.5</x:v>
      </x:c>
      <x:c r="F65" s="14" t="n">
        <x:v>2</x:v>
      </x:c>
      <x:c r="G65" s="14" t="n">
        <x:v>80.1</x:v>
      </x:c>
      <x:c r="H65" s="14" t="n">
        <x:v>100.7</x:v>
      </x:c>
      <x:c r="I65" s="14" t="n">
        <x:v>0.4</x:v>
      </x:c>
      <x:c r="J65" s="14" t="n">
        <x:v>80</x:v>
      </x:c>
      <x:c r="K65" s="14" t="n">
        <x:v>101</x:v>
      </x:c>
      <x:c r="L65" s="14" t="n">
        <x:v>0</x:v>
      </x:c>
      <x:c r="M65" s="14" t="n">
        <x:v>0.02733060856517428</x:v>
      </x:c>
      <x:c r="N65" s="14" t="n">
        <x:f>M65*'Assumptions'!$B$8</x:f>
        <x:v>1.0736272030413985</x:v>
      </x:c>
      <x:c r="O65" s="14" t="n">
        <x:f>N65/'Assumptions'!$B$6</x:f>
        <x:v>0.27330608565174275</x:v>
      </x:c>
      <x:c r="P65" s="14" t="n">
        <x:v>0.7872537288038342</x:v>
      </x:c>
      <x:c r="Q65" s="15" t="n">
        <x:v>0.44</x:v>
      </x:c>
      <x:c r="R65" s="14" t="n">
        <x:f>Q65*'Assumptions'!$B$6</x:f>
        <x:v>1.72845024</x:v>
      </x:c>
      <x:c r="S65" s="14" t="n">
        <x:f>N65-R65</x:f>
        <x:v>-0.6548230369586014</x:v>
      </x:c>
      <x:c r="T65" s="14" t="n">
        <x:f>ABS(S65)</x:f>
        <x:v>0.6548230369586014</x:v>
      </x:c>
      <x:c r="U65" s="14" t="n">
        <x:f>O65-Q65</x:f>
        <x:v>-0.16669391434825725</x:v>
      </x:c>
      <x:c r="V65" s="14" t="n">
        <x:f>ABS(U65)</x:f>
        <x:v>0.16669391434825725</x:v>
      </x:c>
      <x:c r="W65" s="17" t="str">
        <x:v>trilinear_world_xyz</x:v>
      </x:c>
      <x:c r="X65" s="17" t="str">
        <x:v>dx=5m smoke run; z=2m lies between ground and z=5m layer</x:v>
      </x:c>
      <x:c r="Y65" s="16" t="n">
        <x:f>IF(Q65=0,"",V65/Q65)</x:f>
        <x:v>0.3788498053369483</x:v>
      </x:c>
    </x:row>
    <x:row r="66">
      <x:c r="A66" s="13" t="n">
        <x:v>65</x:v>
      </x:c>
      <x:c r="B66" s="13" t="str">
        <x:v>ac</x:v>
      </x:c>
      <x:c r="C66" s="13" t="str">
        <x:v>N</x:v>
      </x:c>
      <x:c r="D66" s="14" t="n">
        <x:v>-83</x:v>
      </x:c>
      <x:c r="E66" s="14" t="n">
        <x:v>-94</x:v>
      </x:c>
      <x:c r="F66" s="14" t="n">
        <x:v>2</x:v>
      </x:c>
      <x:c r="G66" s="14" t="n">
        <x:v>43.4</x:v>
      </x:c>
      <x:c r="H66" s="14" t="n">
        <x:v>81.2</x:v>
      </x:c>
      <x:c r="I66" s="14" t="n">
        <x:v>0.4</x:v>
      </x:c>
      <x:c r="J66" s="14" t="n">
        <x:v>43</x:v>
      </x:c>
      <x:c r="K66" s="14" t="n">
        <x:v>81</x:v>
      </x:c>
      <x:c r="L66" s="14" t="n">
        <x:v>0</x:v>
      </x:c>
      <x:c r="M66" s="14" t="n">
        <x:v>0.016133662676308613</x:v>
      </x:c>
      <x:c r="N66" s="14" t="n">
        <x:f>M66*'Assumptions'!$B$8</x:f>
        <x:v>0.6337780255669241</x:v>
      </x:c>
      <x:c r="O66" s="14" t="n">
        <x:f>N66/'Assumptions'!$B$6</x:f>
        <x:v>0.1613366267630861</x:v>
      </x:c>
      <x:c r="P66" s="14" t="n">
        <x:v>0.6074266369087497</x:v>
      </x:c>
      <x:c r="Q66" s="15" t="n">
        <x:v>0.3</x:v>
      </x:c>
      <x:c r="R66" s="14" t="n">
        <x:f>Q66*'Assumptions'!$B$6</x:f>
        <x:v>1.1784888</x:v>
      </x:c>
      <x:c r="S66" s="14" t="n">
        <x:f>N66-R66</x:f>
        <x:v>-0.5447107744330759</x:v>
      </x:c>
      <x:c r="T66" s="14" t="n">
        <x:f>ABS(S66)</x:f>
        <x:v>0.5447107744330759</x:v>
      </x:c>
      <x:c r="U66" s="14" t="n">
        <x:f>O66-Q66</x:f>
        <x:v>-0.13866337323691388</x:v>
      </x:c>
      <x:c r="V66" s="14" t="n">
        <x:f>ABS(U66)</x:f>
        <x:v>0.13866337323691388</x:v>
      </x:c>
      <x:c r="W66" s="17" t="str">
        <x:v>trilinear_world_xyz</x:v>
      </x:c>
      <x:c r="X66" s="17" t="str">
        <x:v>dx=5m smoke run; z=2m lies between ground and z=5m layer</x:v>
      </x:c>
      <x:c r="Y66" s="16" t="n">
        <x:f>IF(Q66=0,"",V66/Q66)</x:f>
        <x:v>0.4622112441230463</x:v>
      </x:c>
    </x:row>
    <x:row r="67">
      <x:c r="A67" s="13" t="n">
        <x:v>66</x:v>
      </x:c>
      <x:c r="B67" s="13" t="str">
        <x:v>ac</x:v>
      </x:c>
      <x:c r="C67" s="13" t="str">
        <x:v>N</x:v>
      </x:c>
      <x:c r="D67" s="14" t="n">
        <x:v>-49.5</x:v>
      </x:c>
      <x:c r="E67" s="14" t="n">
        <x:v>-78.5</x:v>
      </x:c>
      <x:c r="F67" s="14" t="n">
        <x:v>2</x:v>
      </x:c>
      <x:c r="G67" s="14" t="n">
        <x:v>50.1</x:v>
      </x:c>
      <x:c r="H67" s="14" t="n">
        <x:v>84.3</x:v>
      </x:c>
      <x:c r="I67" s="14" t="n">
        <x:v>0.4</x:v>
      </x:c>
      <x:c r="J67" s="14" t="n">
        <x:v>50</x:v>
      </x:c>
      <x:c r="K67" s="14" t="n">
        <x:v>84</x:v>
      </x:c>
      <x:c r="L67" s="14" t="n">
        <x:v>0</x:v>
      </x:c>
      <x:c r="M67" s="14" t="n">
        <x:v>0.022003823019368405</x:v>
      </x:c>
      <x:c r="N67" s="14" t="n">
        <x:f>M67*'Assumptions'!$B$8</x:f>
        <x:v>0.8643752995169282</x:v>
      </x:c>
      <x:c r="O67" s="14" t="n">
        <x:f>N67/'Assumptions'!$B$6</x:f>
        <x:v>0.22003823019368401</x:v>
      </x:c>
      <x:c r="P67" s="14" t="n">
        <x:v>0.6812999319538395</x:v>
      </x:c>
      <x:c r="Q67" s="15" t="n">
        <x:v>0.32</x:v>
      </x:c>
      <x:c r="R67" s="14" t="n">
        <x:f>Q67*'Assumptions'!$B$6</x:f>
        <x:v>1.25705472</x:v>
      </x:c>
      <x:c r="S67" s="14" t="n">
        <x:f>N67-R67</x:f>
        <x:v>-0.3926794204830718</x:v>
      </x:c>
      <x:c r="T67" s="14" t="n">
        <x:f>ABS(S67)</x:f>
        <x:v>0.3926794204830718</x:v>
      </x:c>
      <x:c r="U67" s="14" t="n">
        <x:f>O67-Q67</x:f>
        <x:v>-0.09996176980631599</x:v>
      </x:c>
      <x:c r="V67" s="14" t="n">
        <x:f>ABS(U67)</x:f>
        <x:v>0.09996176980631599</x:v>
      </x:c>
      <x:c r="W67" s="17" t="str">
        <x:v>trilinear_world_xyz</x:v>
      </x:c>
      <x:c r="X67" s="17" t="str">
        <x:v>dx=5m smoke run; z=2m lies between ground and z=5m layer</x:v>
      </x:c>
      <x:c r="Y67" s="16" t="n">
        <x:f>IF(Q67=0,"",V67/Q67)</x:f>
        <x:v>0.3123805306447375</x:v>
      </x:c>
    </x:row>
    <x:row r="68">
      <x:c r="A68" s="13" t="n">
        <x:v>67</x:v>
      </x:c>
      <x:c r="B68" s="13" t="str">
        <x:v>ac</x:v>
      </x:c>
      <x:c r="C68" s="13" t="str">
        <x:v>N</x:v>
      </x:c>
      <x:c r="D68" s="14" t="n">
        <x:v>-10</x:v>
      </x:c>
      <x:c r="E68" s="14" t="n">
        <x:v>-59.5</x:v>
      </x:c>
      <x:c r="F68" s="14" t="n">
        <x:v>2</x:v>
      </x:c>
      <x:c r="G68" s="14" t="n">
        <x:v>58</x:v>
      </x:c>
      <x:c r="H68" s="14" t="n">
        <x:v>88.1</x:v>
      </x:c>
      <x:c r="I68" s="14" t="n">
        <x:v>0.4</x:v>
      </x:c>
      <x:c r="J68" s="14" t="n">
        <x:v>58</x:v>
      </x:c>
      <x:c r="K68" s="14" t="n">
        <x:v>88</x:v>
      </x:c>
      <x:c r="L68" s="14" t="n">
        <x:v>0</x:v>
      </x:c>
      <x:c r="M68" s="14" t="n">
        <x:v>0.026202499342139737</x:v>
      </x:c>
      <x:c r="N68" s="14" t="n">
        <x:f>M68*'Assumptions'!$B$8</x:f>
        <x:v>1.0293117335573014</x:v>
      </x:c>
      <x:c r="O68" s="14" t="n">
        <x:f>N68/'Assumptions'!$B$6</x:f>
        <x:v>0.26202499342139735</x:v>
      </x:c>
      <x:c r="P68" s="14" t="n">
        <x:v>0.7783439943464183</x:v>
      </x:c>
      <x:c r="Q68" s="15" t="n">
        <x:v>0.5</x:v>
      </x:c>
      <x:c r="R68" s="14" t="n">
        <x:f>Q68*'Assumptions'!$B$6</x:f>
        <x:v>1.964148</x:v>
      </x:c>
      <x:c r="S68" s="14" t="n">
        <x:f>N68-R68</x:f>
        <x:v>-0.9348362664426986</x:v>
      </x:c>
      <x:c r="T68" s="14" t="n">
        <x:f>ABS(S68)</x:f>
        <x:v>0.9348362664426986</x:v>
      </x:c>
      <x:c r="U68" s="14" t="n">
        <x:f>O68-Q68</x:f>
        <x:v>-0.23797500657860265</x:v>
      </x:c>
      <x:c r="V68" s="14" t="n">
        <x:f>ABS(U68)</x:f>
        <x:v>0.23797500657860265</x:v>
      </x:c>
      <x:c r="W68" s="17" t="str">
        <x:v>trilinear_world_xyz</x:v>
      </x:c>
      <x:c r="X68" s="17" t="str">
        <x:v>dx=5m smoke run; z=2m lies between ground and z=5m layer</x:v>
      </x:c>
      <x:c r="Y68" s="16" t="n">
        <x:f>IF(Q68=0,"",V68/Q68)</x:f>
        <x:v>0.4759500131572053</x:v>
      </x:c>
    </x:row>
    <x:row r="69">
      <x:c r="A69" s="13" t="n">
        <x:v>68</x:v>
      </x:c>
      <x:c r="B69" s="13" t="str">
        <x:v>ac</x:v>
      </x:c>
      <x:c r="C69" s="13" t="str">
        <x:v>N</x:v>
      </x:c>
      <x:c r="D69" s="14" t="n">
        <x:v>1</x:v>
      </x:c>
      <x:c r="E69" s="14" t="n">
        <x:v>-54</x:v>
      </x:c>
      <x:c r="F69" s="14" t="n">
        <x:v>2</x:v>
      </x:c>
      <x:c r="G69" s="14" t="n">
        <x:v>60.2</x:v>
      </x:c>
      <x:c r="H69" s="14" t="n">
        <x:v>89.2</x:v>
      </x:c>
      <x:c r="I69" s="14" t="n">
        <x:v>0.4</x:v>
      </x:c>
      <x:c r="J69" s="14" t="n">
        <x:v>60</x:v>
      </x:c>
      <x:c r="K69" s="14" t="n">
        <x:v>89</x:v>
      </x:c>
      <x:c r="L69" s="14" t="n">
        <x:v>0</x:v>
      </x:c>
      <x:c r="M69" s="14" t="n">
        <x:v>0.02634207610968901</x:v>
      </x:c>
      <x:c r="N69" s="14" t="n">
        <x:f>M69*'Assumptions'!$B$8</x:f>
        <x:v>1.034794722133869</x:v>
      </x:c>
      <x:c r="O69" s="14" t="n">
        <x:f>N69/'Assumptions'!$B$6</x:f>
        <x:v>0.26342076109689005</x:v>
      </x:c>
      <x:c r="P69" s="14" t="n">
        <x:v>0.7806189205310692</x:v>
      </x:c>
      <x:c r="Q69" s="15" t="n">
        <x:v>0.28</x:v>
      </x:c>
      <x:c r="R69" s="14" t="n">
        <x:f>Q69*'Assumptions'!$B$6</x:f>
        <x:v>1.09992288</x:v>
      </x:c>
      <x:c r="S69" s="14" t="n">
        <x:f>N69-R69</x:f>
        <x:v>-0.06512815786613113</x:v>
      </x:c>
      <x:c r="T69" s="14" t="n">
        <x:f>ABS(S69)</x:f>
        <x:v>0.06512815786613113</x:v>
      </x:c>
      <x:c r="U69" s="14" t="n">
        <x:f>O69-Q69</x:f>
        <x:v>-0.016579238903109972</x:v>
      </x:c>
      <x:c r="V69" s="14" t="n">
        <x:f>ABS(U69)</x:f>
        <x:v>0.016579238903109972</x:v>
      </x:c>
      <x:c r="W69" s="17" t="str">
        <x:v>trilinear_world_xyz</x:v>
      </x:c>
      <x:c r="X69" s="17" t="str">
        <x:v>dx=5m smoke run; z=2m lies between ground and z=5m layer</x:v>
      </x:c>
      <x:c r="Y69" s="16" t="n">
        <x:f>IF(Q69=0,"",V69/Q69)</x:f>
        <x:v>0.05921156751110704</x:v>
      </x:c>
    </x:row>
    <x:row r="70">
      <x:c r="A70" s="13" t="n">
        <x:v>69</x:v>
      </x:c>
      <x:c r="B70" s="13" t="str">
        <x:v>ac</x:v>
      </x:c>
      <x:c r="C70" s="13" t="str">
        <x:v>N</x:v>
      </x:c>
      <x:c r="D70" s="14" t="n">
        <x:v>26</x:v>
      </x:c>
      <x:c r="E70" s="14" t="n">
        <x:v>-43</x:v>
      </x:c>
      <x:c r="F70" s="14" t="n">
        <x:v>2</x:v>
      </x:c>
      <x:c r="G70" s="14" t="n">
        <x:v>65.2</x:v>
      </x:c>
      <x:c r="H70" s="14" t="n">
        <x:v>91.4</x:v>
      </x:c>
      <x:c r="I70" s="14" t="n">
        <x:v>0.4</x:v>
      </x:c>
      <x:c r="J70" s="14" t="n">
        <x:v>65</x:v>
      </x:c>
      <x:c r="K70" s="14" t="n">
        <x:v>91</x:v>
      </x:c>
      <x:c r="L70" s="14" t="n">
        <x:v>0</x:v>
      </x:c>
      <x:c r="M70" s="14" t="n">
        <x:v>0.026508885385986804</x:v>
      </x:c>
      <x:c r="N70" s="14" t="n">
        <x:f>M70*'Assumptions'!$B$8</x:f>
        <x:v>1.041347484262304</x:v>
      </x:c>
      <x:c r="O70" s="14" t="n">
        <x:f>N70/'Assumptions'!$B$6</x:f>
        <x:v>0.265088853859868</x:v>
      </x:c>
      <x:c r="P70" s="14" t="n">
        <x:v>0.7819035737912319</x:v>
      </x:c>
      <x:c r="Q70" s="15" t="n">
        <x:v>0.24</x:v>
      </x:c>
      <x:c r="R70" s="14" t="n">
        <x:f>Q70*'Assumptions'!$B$6</x:f>
        <x:v>0.9427910399999999</x:v>
      </x:c>
      <x:c r="S70" s="14" t="n">
        <x:f>N70-R70</x:f>
        <x:v>0.09855644426230414</x:v>
      </x:c>
      <x:c r="T70" s="14" t="n">
        <x:f>ABS(S70)</x:f>
        <x:v>0.09855644426230414</x:v>
      </x:c>
      <x:c r="U70" s="14" t="n">
        <x:f>O70-Q70</x:f>
        <x:v>0.025088853859868032</x:v>
      </x:c>
      <x:c r="V70" s="14" t="n">
        <x:f>ABS(U70)</x:f>
        <x:v>0.025088853859868032</x:v>
      </x:c>
      <x:c r="W70" s="17" t="str">
        <x:v>trilinear_world_xyz</x:v>
      </x:c>
      <x:c r="X70" s="17" t="str">
        <x:v>dx=5m smoke run; z=2m lies between ground and z=5m layer</x:v>
      </x:c>
      <x:c r="Y70" s="16" t="n">
        <x:f>IF(Q70=0,"",V70/Q70)</x:f>
        <x:v>0.10453689108278347</x:v>
      </x:c>
    </x:row>
    <x:row r="71">
      <x:c r="A71" s="13" t="n">
        <x:v>70</x:v>
      </x:c>
      <x:c r="B71" s="13" t="str">
        <x:v>ac</x:v>
      </x:c>
      <x:c r="C71" s="13" t="str">
        <x:v>N</x:v>
      </x:c>
      <x:c r="D71" s="14" t="n">
        <x:v>46.5</x:v>
      </x:c>
      <x:c r="E71" s="14" t="n">
        <x:v>-33.5</x:v>
      </x:c>
      <x:c r="F71" s="14" t="n">
        <x:v>2</x:v>
      </x:c>
      <x:c r="G71" s="14" t="n">
        <x:v>69.3</x:v>
      </x:c>
      <x:c r="H71" s="14" t="n">
        <x:v>93.3</x:v>
      </x:c>
      <x:c r="I71" s="14" t="n">
        <x:v>0.4</x:v>
      </x:c>
      <x:c r="J71" s="14" t="n">
        <x:v>69</x:v>
      </x:c>
      <x:c r="K71" s="14" t="n">
        <x:v>93</x:v>
      </x:c>
      <x:c r="L71" s="14" t="n">
        <x:v>0</x:v>
      </x:c>
      <x:c r="M71" s="14" t="n">
        <x:v>0.02661669003032703</x:v>
      </x:c>
      <x:c r="N71" s="14" t="n">
        <x:f>M71*'Assumptions'!$B$8</x:f>
        <x:v>1.0455823697937354</x:v>
      </x:c>
      <x:c r="O71" s="14" t="n">
        <x:f>N71/'Assumptions'!$B$6</x:f>
        <x:v>0.2661669003032703</x:v>
      </x:c>
      <x:c r="P71" s="14" t="n">
        <x:v>0.7824190842467427</x:v>
      </x:c>
      <x:c r="Q71" s="15" t="n">
        <x:v>0.34</x:v>
      </x:c>
      <x:c r="R71" s="14" t="n">
        <x:f>Q71*'Assumptions'!$B$6</x:f>
        <x:v>1.3356206400000001</x:v>
      </x:c>
      <x:c r="S71" s="14" t="n">
        <x:f>N71-R71</x:f>
        <x:v>-0.2900382702062647</x:v>
      </x:c>
      <x:c r="T71" s="14" t="n">
        <x:f>ABS(S71)</x:f>
        <x:v>0.2900382702062647</x:v>
      </x:c>
      <x:c r="U71" s="14" t="n">
        <x:f>O71-Q71</x:f>
        <x:v>-0.07383309969672974</x:v>
      </x:c>
      <x:c r="V71" s="14" t="n">
        <x:f>ABS(U71)</x:f>
        <x:v>0.07383309969672974</x:v>
      </x:c>
      <x:c r="W71" s="17" t="str">
        <x:v>trilinear_world_xyz</x:v>
      </x:c>
      <x:c r="X71" s="17" t="str">
        <x:v>dx=5m smoke run; z=2m lies between ground and z=5m layer</x:v>
      </x:c>
      <x:c r="Y71" s="16" t="n">
        <x:f>IF(Q71=0,"",V71/Q71)</x:f>
        <x:v>0.21715617557861688</x:v>
      </x:c>
    </x:row>
    <x:row r="72">
      <x:c r="A72" s="13" t="n">
        <x:v>71</x:v>
      </x:c>
      <x:c r="B72" s="13" t="str">
        <x:v>ac</x:v>
      </x:c>
      <x:c r="C72" s="13" t="str">
        <x:v>N</x:v>
      </x:c>
      <x:c r="D72" s="14" t="n">
        <x:v>66.5</x:v>
      </x:c>
      <x:c r="E72" s="14" t="n">
        <x:v>-24.5</x:v>
      </x:c>
      <x:c r="F72" s="14" t="n">
        <x:v>2</x:v>
      </x:c>
      <x:c r="G72" s="14" t="n">
        <x:v>73.3</x:v>
      </x:c>
      <x:c r="H72" s="14" t="n">
        <x:v>95.1</x:v>
      </x:c>
      <x:c r="I72" s="14" t="n">
        <x:v>0.4</x:v>
      </x:c>
      <x:c r="J72" s="14" t="n">
        <x:v>73</x:v>
      </x:c>
      <x:c r="K72" s="14" t="n">
        <x:v>95</x:v>
      </x:c>
      <x:c r="L72" s="14" t="n">
        <x:v>0</x:v>
      </x:c>
      <x:c r="M72" s="14" t="n">
        <x:v>0.02671665524079435</x:v>
      </x:c>
      <x:c r="N72" s="14" t="n">
        <x:f>M72*'Assumptions'!$B$8</x:f>
        <x:v>1.0495092991579147</x:v>
      </x:c>
      <x:c r="O72" s="14" t="n">
        <x:f>N72/'Assumptions'!$B$6</x:f>
        <x:v>0.26716655240794346</x:v>
      </x:c>
      <x:c r="P72" s="14" t="n">
        <x:v>0.7823937037287912</x:v>
      </x:c>
      <x:c r="Q72" s="15" t="n">
        <x:v>0.5</x:v>
      </x:c>
      <x:c r="R72" s="14" t="n">
        <x:f>Q72*'Assumptions'!$B$6</x:f>
        <x:v>1.964148</x:v>
      </x:c>
      <x:c r="S72" s="14" t="n">
        <x:f>N72-R72</x:f>
        <x:v>-0.9146387008420853</x:v>
      </x:c>
      <x:c r="T72" s="14" t="n">
        <x:f>ABS(S72)</x:f>
        <x:v>0.9146387008420853</x:v>
      </x:c>
      <x:c r="U72" s="14" t="n">
        <x:f>O72-Q72</x:f>
        <x:v>-0.23283344759205654</x:v>
      </x:c>
      <x:c r="V72" s="14" t="n">
        <x:f>ABS(U72)</x:f>
        <x:v>0.23283344759205654</x:v>
      </x:c>
      <x:c r="W72" s="17" t="str">
        <x:v>trilinear_world_xyz</x:v>
      </x:c>
      <x:c r="X72" s="17" t="str">
        <x:v>dx=5m smoke run; z=2m lies between ground and z=5m layer</x:v>
      </x:c>
      <x:c r="Y72" s="16" t="n">
        <x:f>IF(Q72=0,"",V72/Q72)</x:f>
        <x:v>0.4656668951841131</x:v>
      </x:c>
    </x:row>
    <x:row r="73">
      <x:c r="A73" s="13" t="n">
        <x:v>72</x:v>
      </x:c>
      <x:c r="B73" s="13" t="str">
        <x:v>ac</x:v>
      </x:c>
      <x:c r="C73" s="13" t="str">
        <x:v>N</x:v>
      </x:c>
      <x:c r="D73" s="14" t="n">
        <x:v>82</x:v>
      </x:c>
      <x:c r="E73" s="14" t="n">
        <x:v>-17.5</x:v>
      </x:c>
      <x:c r="F73" s="14" t="n">
        <x:v>2</x:v>
      </x:c>
      <x:c r="G73" s="14" t="n">
        <x:v>76.4</x:v>
      </x:c>
      <x:c r="H73" s="14" t="n">
        <x:v>96.5</x:v>
      </x:c>
      <x:c r="I73" s="14" t="n">
        <x:v>0.4</x:v>
      </x:c>
      <x:c r="J73" s="14" t="n">
        <x:v>76</x:v>
      </x:c>
      <x:c r="K73" s="14" t="n">
        <x:v>96</x:v>
      </x:c>
      <x:c r="L73" s="14" t="n">
        <x:v>0</x:v>
      </x:c>
      <x:c r="M73" s="14" t="n">
        <x:v>0.02680050333536667</x:v>
      </x:c>
      <x:c r="N73" s="14" t="n">
        <x:f>M73*'Assumptions'!$B$8</x:f>
        <x:v>1.0528031005030754</x:v>
      </x:c>
      <x:c r="O73" s="14" t="n">
        <x:f>N73/'Assumptions'!$B$6</x:f>
        <x:v>0.26800503335366666</x:v>
      </x:c>
      <x:c r="P73" s="14" t="n">
        <x:v>0.7809974302819688</x:v>
      </x:c>
      <x:c r="Q73" s="15" t="n">
        <x:v>0.38</x:v>
      </x:c>
      <x:c r="R73" s="14" t="n">
        <x:f>Q73*'Assumptions'!$B$6</x:f>
        <x:v>1.49275248</x:v>
      </x:c>
      <x:c r="S73" s="14" t="n">
        <x:f>N73-R73</x:f>
        <x:v>-0.4399493794969247</x:v>
      </x:c>
      <x:c r="T73" s="14" t="n">
        <x:f>ABS(S73)</x:f>
        <x:v>0.4399493794969247</x:v>
      </x:c>
      <x:c r="U73" s="14" t="n">
        <x:f>O73-Q73</x:f>
        <x:v>-0.11199496664633335</x:v>
      </x:c>
      <x:c r="V73" s="14" t="n">
        <x:f>ABS(U73)</x:f>
        <x:v>0.11199496664633335</x:v>
      </x:c>
      <x:c r="W73" s="17" t="str">
        <x:v>trilinear_world_xyz</x:v>
      </x:c>
      <x:c r="X73" s="17" t="str">
        <x:v>dx=5m smoke run; z=2m lies between ground and z=5m layer</x:v>
      </x:c>
      <x:c r="Y73" s="16" t="n">
        <x:f>IF(Q73=0,"",V73/Q73)</x:f>
        <x:v>0.29472359643771934</x:v>
      </x:c>
    </x:row>
    <x:row r="74">
      <x:c r="A74" s="13" t="n">
        <x:v>73</x:v>
      </x:c>
      <x:c r="B74" s="13" t="str">
        <x:v>ac</x:v>
      </x:c>
      <x:c r="C74" s="13" t="str">
        <x:v>N</x:v>
      </x:c>
      <x:c r="D74" s="14" t="n">
        <x:v>98.5</x:v>
      </x:c>
      <x:c r="E74" s="14" t="n">
        <x:v>-9.5</x:v>
      </x:c>
      <x:c r="F74" s="14" t="n">
        <x:v>2</x:v>
      </x:c>
      <x:c r="G74" s="14" t="n">
        <x:v>79.7</x:v>
      </x:c>
      <x:c r="H74" s="14" t="n">
        <x:v>98.1</x:v>
      </x:c>
      <x:c r="I74" s="14" t="n">
        <x:v>0.4</x:v>
      </x:c>
      <x:c r="J74" s="14" t="n">
        <x:v>80</x:v>
      </x:c>
      <x:c r="K74" s="14" t="n">
        <x:v>98</x:v>
      </x:c>
      <x:c r="L74" s="14" t="n">
        <x:v>0</x:v>
      </x:c>
      <x:c r="M74" s="14" t="n">
        <x:v>0.02691369381765405</x:v>
      </x:c>
      <x:c r="N74" s="14" t="n">
        <x:f>M74*'Assumptions'!$B$8</x:f>
        <x:v>1.0572495576911514</x:v>
      </x:c>
      <x:c r="O74" s="14" t="n">
        <x:f>N74/'Assumptions'!$B$6</x:f>
        <x:v>0.2691369381765405</x:v>
      </x:c>
      <x:c r="P74" s="14" t="n">
        <x:v>0.780745279501108</x:v>
      </x:c>
      <x:c r="Q74" s="15" t="n">
        <x:v>0.52</x:v>
      </x:c>
      <x:c r="R74" s="14" t="n">
        <x:f>Q74*'Assumptions'!$B$6</x:f>
        <x:v>2.04271392</x:v>
      </x:c>
      <x:c r="S74" s="14" t="n">
        <x:f>N74-R74</x:f>
        <x:v>-0.9854643623088488</x:v>
      </x:c>
      <x:c r="T74" s="14" t="n">
        <x:f>ABS(S74)</x:f>
        <x:v>0.9854643623088488</x:v>
      </x:c>
      <x:c r="U74" s="14" t="n">
        <x:f>O74-Q74</x:f>
        <x:v>-0.2508630618234595</x:v>
      </x:c>
      <x:c r="V74" s="14" t="n">
        <x:f>ABS(U74)</x:f>
        <x:v>0.2508630618234595</x:v>
      </x:c>
      <x:c r="W74" s="17" t="str">
        <x:v>trilinear_world_xyz</x:v>
      </x:c>
      <x:c r="X74" s="17" t="str">
        <x:v>dx=5m smoke run; z=2m lies between ground and z=5m layer</x:v>
      </x:c>
      <x:c r="Y74" s="16" t="n">
        <x:f>IF(Q74=0,"",V74/Q74)</x:f>
        <x:v>0.48242896504511446</x:v>
      </x:c>
    </x:row>
    <x:row r="75">
      <x:c r="A75" s="13" t="n">
        <x:v>74</x:v>
      </x:c>
      <x:c r="B75" s="13" t="str">
        <x:v>ac</x:v>
      </x:c>
      <x:c r="C75" s="13" t="str">
        <x:v>N</x:v>
      </x:c>
      <x:c r="D75" s="14" t="n">
        <x:v>56.5</x:v>
      </x:c>
      <x:c r="E75" s="14" t="n">
        <x:v>-54.5</x:v>
      </x:c>
      <x:c r="F75" s="14" t="n">
        <x:v>2</x:v>
      </x:c>
      <x:c r="G75" s="14" t="n">
        <x:v>71.3</x:v>
      </x:c>
      <x:c r="H75" s="14" t="n">
        <x:v>89.1</x:v>
      </x:c>
      <x:c r="I75" s="14" t="n">
        <x:v>0.4</x:v>
      </x:c>
      <x:c r="J75" s="14" t="n">
        <x:v>71</x:v>
      </x:c>
      <x:c r="K75" s="14" t="n">
        <x:v>89</x:v>
      </x:c>
      <x:c r="L75" s="14" t="n">
        <x:v>0</x:v>
      </x:c>
      <x:c r="M75" s="14" t="n">
        <x:v>0.025573910836040895</x:v>
      </x:c>
      <x:c r="N75" s="14" t="n">
        <x:f>M75*'Assumptions'!$B$8</x:f>
        <x:v>1.0046189164157608</x:v>
      </x:c>
      <x:c r="O75" s="14" t="n">
        <x:f>N75/'Assumptions'!$B$6</x:f>
        <x:v>0.2557391083604089</x:v>
      </x:c>
      <x:c r="P75" s="14" t="n">
        <x:v>0.7665748656292595</x:v>
      </x:c>
      <x:c r="Q75" s="15" t="n">
        <x:v>0.26</x:v>
      </x:c>
      <x:c r="R75" s="14" t="n">
        <x:f>Q75*'Assumptions'!$B$6</x:f>
        <x:v>1.02135696</x:v>
      </x:c>
      <x:c r="S75" s="14" t="n">
        <x:f>N75-R75</x:f>
        <x:v>-0.01673804358423925</x:v>
      </x:c>
      <x:c r="T75" s="14" t="n">
        <x:f>ABS(S75)</x:f>
        <x:v>0.01673804358423925</x:v>
      </x:c>
      <x:c r="U75" s="14" t="n">
        <x:f>O75-Q75</x:f>
        <x:v>-0.004260891639591091</x:v>
      </x:c>
      <x:c r="V75" s="14" t="n">
        <x:f>ABS(U75)</x:f>
        <x:v>0.004260891639591091</x:v>
      </x:c>
      <x:c r="W75" s="17" t="str">
        <x:v>trilinear_world_xyz</x:v>
      </x:c>
      <x:c r="X75" s="17" t="str">
        <x:v>dx=5m smoke run; z=2m lies between ground and z=5m layer</x:v>
      </x:c>
      <x:c r="Y75" s="16" t="n">
        <x:f>IF(Q75=0,"",V75/Q75)</x:f>
        <x:v>0.016388044767658042</x:v>
      </x:c>
    </x:row>
    <x:row r="76">
      <x:c r="A76" s="13" t="n">
        <x:v>75</x:v>
      </x:c>
      <x:c r="B76" s="13" t="str">
        <x:v>ac</x:v>
      </x:c>
      <x:c r="C76" s="13" t="str">
        <x:v>N</x:v>
      </x:c>
      <x:c r="D76" s="14" t="n">
        <x:v>109</x:v>
      </x:c>
      <x:c r="E76" s="14" t="n">
        <x:v>-17.5</x:v>
      </x:c>
      <x:c r="F76" s="14" t="n">
        <x:v>2</x:v>
      </x:c>
      <x:c r="G76" s="14" t="n">
        <x:v>81.8</x:v>
      </x:c>
      <x:c r="H76" s="14" t="n">
        <x:v>96.5</x:v>
      </x:c>
      <x:c r="I76" s="14" t="n">
        <x:v>0.4</x:v>
      </x:c>
      <x:c r="J76" s="14" t="n">
        <x:v>82</x:v>
      </x:c>
      <x:c r="K76" s="14" t="n">
        <x:v>96</x:v>
      </x:c>
      <x:c r="L76" s="14" t="n">
        <x:v>0</x:v>
      </x:c>
      <x:c r="M76" s="14" t="n">
        <x:v>0.02652415934590888</x:v>
      </x:c>
      <x:c r="N76" s="14" t="n">
        <x:f>M76*'Assumptions'!$B$8</x:f>
        <x:v>1.0419474906189645</x:v>
      </x:c>
      <x:c r="O76" s="14" t="n">
        <x:f>N76/'Assumptions'!$B$6</x:f>
        <x:v>0.26524159345908876</x:v>
      </x:c>
      <x:c r="P76" s="14" t="n">
        <x:v>0.7735865496164265</x:v>
      </x:c>
      <x:c r="Q76" s="15" t="n">
        <x:v>0.63</x:v>
      </x:c>
      <x:c r="R76" s="14" t="n">
        <x:f>Q76*'Assumptions'!$B$6</x:f>
        <x:v>2.47482648</x:v>
      </x:c>
      <x:c r="S76" s="14" t="n">
        <x:f>N76-R76</x:f>
        <x:v>-1.4328789893810354</x:v>
      </x:c>
      <x:c r="T76" s="14" t="n">
        <x:f>ABS(S76)</x:f>
        <x:v>1.4328789893810354</x:v>
      </x:c>
      <x:c r="U76" s="14" t="n">
        <x:f>O76-Q76</x:f>
        <x:v>-0.36475840654091124</x:v>
      </x:c>
      <x:c r="V76" s="14" t="n">
        <x:f>ABS(U76)</x:f>
        <x:v>0.36475840654091124</x:v>
      </x:c>
      <x:c r="W76" s="17" t="str">
        <x:v>trilinear_world_xyz</x:v>
      </x:c>
      <x:c r="X76" s="17" t="str">
        <x:v>dx=5m smoke run; z=2m lies between ground and z=5m layer</x:v>
      </x:c>
      <x:c r="Y76" s="16" t="n">
        <x:f>IF(Q76=0,"",V76/Q76)</x:f>
        <x:v>0.578981597683986</x:v>
      </x:c>
    </x:row>
    <x:row r="77">
      <x:c r="A77" s="13" t="n">
        <x:v>76</x:v>
      </x:c>
      <x:c r="B77" s="13" t="str">
        <x:v>ac</x:v>
      </x:c>
      <x:c r="C77" s="13" t="str">
        <x:v>N</x:v>
      </x:c>
      <x:c r="D77" s="14" t="n">
        <x:v>116</x:v>
      </x:c>
      <x:c r="E77" s="14" t="n">
        <x:v>-30.5</x:v>
      </x:c>
      <x:c r="F77" s="14" t="n">
        <x:v>2</x:v>
      </x:c>
      <x:c r="G77" s="14" t="n">
        <x:v>83.2</x:v>
      </x:c>
      <x:c r="H77" s="14" t="n">
        <x:v>93.9</x:v>
      </x:c>
      <x:c r="I77" s="14" t="n">
        <x:v>0.4</x:v>
      </x:c>
      <x:c r="J77" s="14" t="n">
        <x:v>83</x:v>
      </x:c>
      <x:c r="K77" s="14" t="n">
        <x:v>94</x:v>
      </x:c>
      <x:c r="L77" s="14" t="n">
        <x:v>0</x:v>
      </x:c>
      <x:c r="M77" s="14" t="n">
        <x:v>0.025969324051670798</x:v>
      </x:c>
      <x:c r="N77" s="14" t="n">
        <x:f>M77*'Assumptions'!$B$8</x:f>
        <x:v>1.0201519179488219</x:v>
      </x:c>
      <x:c r="O77" s="14" t="n">
        <x:f>N77/'Assumptions'!$B$6</x:f>
        <x:v>0.259693240516708</x:v>
      </x:c>
      <x:c r="P77" s="14" t="n">
        <x:v>0.7674244303681463</x:v>
      </x:c>
      <x:c r="Q77" s="15" t="n">
        <x:v>0.5</x:v>
      </x:c>
      <x:c r="R77" s="14" t="n">
        <x:f>Q77*'Assumptions'!$B$6</x:f>
        <x:v>1.964148</x:v>
      </x:c>
      <x:c r="S77" s="14" t="n">
        <x:f>N77-R77</x:f>
        <x:v>-0.9439960820511781</x:v>
      </x:c>
      <x:c r="T77" s="14" t="n">
        <x:f>ABS(S77)</x:f>
        <x:v>0.9439960820511781</x:v>
      </x:c>
      <x:c r="U77" s="14" t="n">
        <x:f>O77-Q77</x:f>
        <x:v>-0.240306759483292</x:v>
      </x:c>
      <x:c r="V77" s="14" t="n">
        <x:f>ABS(U77)</x:f>
        <x:v>0.240306759483292</x:v>
      </x:c>
      <x:c r="W77" s="17" t="str">
        <x:v>trilinear_world_xyz</x:v>
      </x:c>
      <x:c r="X77" s="17" t="str">
        <x:v>dx=5m smoke run; z=2m lies between ground and z=5m layer</x:v>
      </x:c>
      <x:c r="Y77" s="16" t="n">
        <x:f>IF(Q77=0,"",V77/Q77)</x:f>
        <x:v>0.480613518966584</x:v>
      </x:c>
    </x:row>
    <x:row r="78">
      <x:c r="A78" s="13" t="n">
        <x:v>77</x:v>
      </x:c>
      <x:c r="B78" s="13" t="str">
        <x:v>ac</x:v>
      </x:c>
      <x:c r="C78" s="13" t="str">
        <x:v>N</x:v>
      </x:c>
      <x:c r="D78" s="14" t="n">
        <x:v>5</x:v>
      </x:c>
      <x:c r="E78" s="14" t="n">
        <x:v>-94</x:v>
      </x:c>
      <x:c r="F78" s="14" t="n">
        <x:v>2</x:v>
      </x:c>
      <x:c r="G78" s="14" t="n">
        <x:v>61</x:v>
      </x:c>
      <x:c r="H78" s="14" t="n">
        <x:v>81.2</x:v>
      </x:c>
      <x:c r="I78" s="14" t="n">
        <x:v>0.4</x:v>
      </x:c>
      <x:c r="J78" s="14" t="n">
        <x:v>61</x:v>
      </x:c>
      <x:c r="K78" s="14" t="n">
        <x:v>81</x:v>
      </x:c>
      <x:c r="L78" s="14" t="n">
        <x:v>0</x:v>
      </x:c>
      <x:c r="M78" s="14" t="n">
        <x:v>0.023734814612352356</x:v>
      </x:c>
      <x:c r="N78" s="14" t="n">
        <x:f>M78*'Assumptions'!$B$8</x:f>
        <x:v>0.932373773024453</x:v>
      </x:c>
      <x:c r="O78" s="14" t="n">
        <x:f>N78/'Assumptions'!$B$6</x:f>
        <x:v>0.23734814612352353</x:v>
      </x:c>
      <x:c r="P78" s="14" t="n">
        <x:v>0.7371915856336287</x:v>
      </x:c>
      <x:c r="Q78" s="15" t="n">
        <x:v>0.46</x:v>
      </x:c>
      <x:c r="R78" s="14" t="n">
        <x:f>Q78*'Assumptions'!$B$6</x:f>
        <x:v>1.80701616</x:v>
      </x:c>
      <x:c r="S78" s="14" t="n">
        <x:f>N78-R78</x:f>
        <x:v>-0.8746423869755471</x:v>
      </x:c>
      <x:c r="T78" s="14" t="n">
        <x:f>ABS(S78)</x:f>
        <x:v>0.8746423869755471</x:v>
      </x:c>
      <x:c r="U78" s="14" t="n">
        <x:f>O78-Q78</x:f>
        <x:v>-0.22265185387647649</x:v>
      </x:c>
      <x:c r="V78" s="14" t="n">
        <x:f>ABS(U78)</x:f>
        <x:v>0.22265185387647649</x:v>
      </x:c>
      <x:c r="W78" s="17" t="str">
        <x:v>trilinear_world_xyz</x:v>
      </x:c>
      <x:c r="X78" s="17" t="str">
        <x:v>dx=5m smoke run; z=2m lies between ground and z=5m layer</x:v>
      </x:c>
      <x:c r="Y78" s="16" t="n">
        <x:f>IF(Q78=0,"",V78/Q78)</x:f>
        <x:v>0.484025769296688</x:v>
      </x:c>
    </x:row>
    <x:row r="79">
      <x:c r="A79" s="13" t="n">
        <x:v>78</x:v>
      </x:c>
      <x:c r="B79" s="13" t="str">
        <x:v>ac</x:v>
      </x:c>
      <x:c r="C79" s="13" t="str">
        <x:v>N</x:v>
      </x:c>
      <x:c r="D79" s="14" t="n">
        <x:v>45.5</x:v>
      </x:c>
      <x:c r="E79" s="14" t="n">
        <x:v>-86.5</x:v>
      </x:c>
      <x:c r="F79" s="14" t="n">
        <x:v>2</x:v>
      </x:c>
      <x:c r="G79" s="14" t="n">
        <x:v>69.1</x:v>
      </x:c>
      <x:c r="H79" s="14" t="n">
        <x:v>82.7</x:v>
      </x:c>
      <x:c r="I79" s="14" t="n">
        <x:v>0.4</x:v>
      </x:c>
      <x:c r="J79" s="14" t="n">
        <x:v>69</x:v>
      </x:c>
      <x:c r="K79" s="14" t="n">
        <x:v>83</x:v>
      </x:c>
      <x:c r="L79" s="14" t="n">
        <x:v>0</x:v>
      </x:c>
      <x:c r="M79" s="14" t="n">
        <x:v>0.024024917288390377</x:v>
      </x:c>
      <x:c r="N79" s="14" t="n">
        <x:f>M79*'Assumptions'!$B$8</x:f>
        <x:v>0.9437698648431475</x:v>
      </x:c>
      <x:c r="O79" s="14" t="n">
        <x:f>N79/'Assumptions'!$B$6</x:f>
        <x:v>0.24024917288390374</x:v>
      </x:c>
      <x:c r="P79" s="14" t="n">
        <x:v>0.7451425173912638</x:v>
      </x:c>
      <x:c r="Q79" s="15" t="n">
        <x:v>0.28</x:v>
      </x:c>
      <x:c r="R79" s="14" t="n">
        <x:f>Q79*'Assumptions'!$B$6</x:f>
        <x:v>1.09992288</x:v>
      </x:c>
      <x:c r="S79" s="14" t="n">
        <x:f>N79-R79</x:f>
        <x:v>-0.15615301515685254</x:v>
      </x:c>
      <x:c r="T79" s="14" t="n">
        <x:f>ABS(S79)</x:f>
        <x:v>0.15615301515685254</x:v>
      </x:c>
      <x:c r="U79" s="14" t="n">
        <x:f>O79-Q79</x:f>
        <x:v>-0.03975082711609629</x:v>
      </x:c>
      <x:c r="V79" s="14" t="n">
        <x:f>ABS(U79)</x:f>
        <x:v>0.03975082711609629</x:v>
      </x:c>
      <x:c r="W79" s="17" t="str">
        <x:v>trilinear_world_xyz</x:v>
      </x:c>
      <x:c r="X79" s="17" t="str">
        <x:v>dx=5m smoke run; z=2m lies between ground and z=5m layer</x:v>
      </x:c>
      <x:c r="Y79" s="16" t="n">
        <x:f>IF(Q79=0,"",V79/Q79)</x:f>
        <x:v>0.14196723970034386</x:v>
      </x:c>
    </x:row>
    <x:row r="80">
      <x:c r="A80" s="13" t="n">
        <x:v>79</x:v>
      </x:c>
      <x:c r="B80" s="13" t="str">
        <x:v>ac</x:v>
      </x:c>
      <x:c r="C80" s="13" t="str">
        <x:v>N</x:v>
      </x:c>
      <x:c r="D80" s="14" t="n">
        <x:v>81.5</x:v>
      </x:c>
      <x:c r="E80" s="14" t="n">
        <x:v>-69.5</x:v>
      </x:c>
      <x:c r="F80" s="14" t="n">
        <x:v>2</x:v>
      </x:c>
      <x:c r="G80" s="14" t="n">
        <x:v>76.3</x:v>
      </x:c>
      <x:c r="H80" s="14" t="n">
        <x:v>86.1</x:v>
      </x:c>
      <x:c r="I80" s="14" t="n">
        <x:v>0.4</x:v>
      </x:c>
      <x:c r="J80" s="14" t="n">
        <x:v>76</x:v>
      </x:c>
      <x:c r="K80" s="14" t="n">
        <x:v>86</x:v>
      </x:c>
      <x:c r="L80" s="14" t="n">
        <x:v>0</x:v>
      </x:c>
      <x:c r="M80" s="14" t="n">
        <x:v>0.024619320451904302</x:v>
      </x:c>
      <x:c r="N80" s="14" t="n">
        <x:f>M80*'Assumptions'!$B$8</x:f>
        <x:v>0.9671197805393386</x:v>
      </x:c>
      <x:c r="O80" s="14" t="n">
        <x:f>N80/'Assumptions'!$B$6</x:f>
        <x:v>0.246193204519043</x:v>
      </x:c>
      <x:c r="P80" s="14" t="n">
        <x:v>0.7511303702342531</x:v>
      </x:c>
      <x:c r="Q80" s="15" t="n">
        <x:v>0.32</x:v>
      </x:c>
      <x:c r="R80" s="14" t="n">
        <x:f>Q80*'Assumptions'!$B$6</x:f>
        <x:v>1.25705472</x:v>
      </x:c>
      <x:c r="S80" s="14" t="n">
        <x:f>N80-R80</x:f>
        <x:v>-0.2899349394606614</x:v>
      </x:c>
      <x:c r="T80" s="14" t="n">
        <x:f>ABS(S80)</x:f>
        <x:v>0.2899349394606614</x:v>
      </x:c>
      <x:c r="U80" s="14" t="n">
        <x:f>O80-Q80</x:f>
        <x:v>-0.073806795480957</x:v>
      </x:c>
      <x:c r="V80" s="14" t="n">
        <x:f>ABS(U80)</x:f>
        <x:v>0.073806795480957</x:v>
      </x:c>
      <x:c r="W80" s="17" t="str">
        <x:v>trilinear_world_xyz</x:v>
      </x:c>
      <x:c r="X80" s="17" t="str">
        <x:v>dx=5m smoke run; z=2m lies between ground and z=5m layer</x:v>
      </x:c>
      <x:c r="Y80" s="16" t="n">
        <x:f>IF(Q80=0,"",V80/Q80)</x:f>
        <x:v>0.23064623587799063</x:v>
      </x:c>
    </x:row>
    <x:row r="81">
      <x:c r="A81" s="13" t="n">
        <x:v>80</x:v>
      </x:c>
      <x:c r="B81" s="13" t="str">
        <x:v>ac</x:v>
      </x:c>
      <x:c r="C81" s="13" t="str">
        <x:v>N</x:v>
      </x:c>
      <x:c r="D81" s="14" t="n">
        <x:v>125</x:v>
      </x:c>
      <x:c r="E81" s="14" t="n">
        <x:v>-49.5</x:v>
      </x:c>
      <x:c r="F81" s="14" t="n">
        <x:v>2</x:v>
      </x:c>
      <x:c r="G81" s="14" t="n">
        <x:v>85</x:v>
      </x:c>
      <x:c r="H81" s="14" t="n">
        <x:v>90.1</x:v>
      </x:c>
      <x:c r="I81" s="14" t="n">
        <x:v>0.4</x:v>
      </x:c>
      <x:c r="J81" s="14" t="n">
        <x:v>85</x:v>
      </x:c>
      <x:c r="K81" s="14" t="n">
        <x:v>90</x:v>
      </x:c>
      <x:c r="L81" s="14" t="n">
        <x:v>0</x:v>
      </x:c>
      <x:c r="M81" s="14" t="n">
        <x:v>0.025126447250803208</x:v>
      </x:c>
      <x:c r="N81" s="14" t="n">
        <x:f>M81*'Assumptions'!$B$8</x:f>
        <x:v>0.9870412222954122</x:v>
      </x:c>
      <x:c r="O81" s="14" t="n">
        <x:f>N81/'Assumptions'!$B$6</x:f>
        <x:v>0.251264472508032</x:v>
      </x:c>
      <x:c r="P81" s="14" t="n">
        <x:v>0.7546261398836327</x:v>
      </x:c>
      <x:c r="Q81" s="15" t="n">
        <x:v>0.54</x:v>
      </x:c>
      <x:c r="R81" s="14" t="n">
        <x:f>Q81*'Assumptions'!$B$6</x:f>
        <x:v>2.12127984</x:v>
      </x:c>
      <x:c r="S81" s="14" t="n">
        <x:f>N81-R81</x:f>
        <x:v>-1.1342386177045878</x:v>
      </x:c>
      <x:c r="T81" s="14" t="n">
        <x:f>ABS(S81)</x:f>
        <x:v>1.1342386177045878</x:v>
      </x:c>
      <x:c r="U81" s="14" t="n">
        <x:f>O81-Q81</x:f>
        <x:v>-0.288735527491968</x:v>
      </x:c>
      <x:c r="V81" s="14" t="n">
        <x:f>ABS(U81)</x:f>
        <x:v>0.288735527491968</x:v>
      </x:c>
      <x:c r="W81" s="17" t="str">
        <x:v>trilinear_world_xyz</x:v>
      </x:c>
      <x:c r="X81" s="17" t="str">
        <x:v>dx=5m smoke run; z=2m lies between ground and z=5m layer</x:v>
      </x:c>
      <x:c r="Y81" s="16" t="n">
        <x:f>IF(Q81=0,"",V81/Q81)</x:f>
        <x:v>0.5346954212814222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75" hidden="0" customWidth="1"/>
    <x:col min="2" max="2" width="58" hidden="0" customWidth="1"/>
    <x:col min="3" max="3" width="58" hidden="0" customWidth="1"/>
  </x:cols>
  <x:sheetData>
    <x:row r="1">
      <x:c r="A1" s="6" t="str">
        <x:v>AIJ Case E ac+N CityLBM VTK Sampling Assumptions</x:v>
      </x:c>
      <x:c r="B1" s="6" t="str"/>
      <x:c r="C1" s="6" t="str"/>
      <x:c r="D1" s="2" t="str"/>
    </x:row>
    <x:row r="2">
      <x:c r="A2" s="7" t="str">
        <x:v>Case</x:v>
      </x:c>
      <x:c r="B2" s="8" t="str">
        <x:v>AIJ Case E ac N</x:v>
      </x:c>
      <x:c r="C2" s="8" t="str">
        <x:v>AIJ Case E, construction state ac, wind direction N</x:v>
      </x:c>
    </x:row>
    <x:row r="3">
      <x:c r="A3" s="7" t="str">
        <x:v>Measurement rows</x:v>
      </x:c>
      <x:c r="B3" s="8" t="n">
        <x:v>80</x:v>
      </x:c>
      <x:c r="C3" s="8" t="str">
        <x:v>Filtered from RS_caseE.csv</x:v>
      </x:c>
    </x:row>
    <x:row r="4">
      <x:c r="A4" s="7" t="str">
        <x:v>VTK dimensions</x:v>
      </x:c>
      <x:c r="B4" s="8" t="str">
        <x:v>120 x 160 x 48</x:v>
      </x:c>
      <x:c r="C4" s="8" t="str">
        <x:v>Nx x Ny x Nz</x:v>
      </x:c>
    </x:row>
    <x:row r="5">
      <x:c r="A5" s="7" t="str">
        <x:v>Grid spacing dx (m)</x:v>
      </x:c>
      <x:c r="B5" s="8" t="n">
        <x:v>5</x:v>
      </x:c>
      <x:c r="C5" s="8" t="str">
        <x:v>Smoke run grid size</x:v>
      </x:c>
    </x:row>
    <x:row r="6">
      <x:c r="A6" s="7" t="str">
        <x:v>Uref physical at 15.9m (m/s)</x:v>
      </x:c>
      <x:c r="B6" s="8" t="n">
        <x:v>3.928296</x:v>
      </x:c>
      <x:c r="C6" s="8" t="str">
        <x:v>Linear interpolation from AF_caseE.csv</x:v>
      </x:c>
    </x:row>
    <x:row r="7">
      <x:c r="A7" s="7" t="str">
        <x:v>Uref LBM assumed</x:v>
      </x:c>
      <x:c r="B7" s="8" t="n">
        <x:v>0.1</x:v>
      </x:c>
      <x:c r="C7" s="8" t="str">
        <x:v>From generated setup.cpp</x:v>
      </x:c>
    </x:row>
    <x:row r="8">
      <x:c r="A8" s="7" t="str">
        <x:v>LBM to m/s scale</x:v>
      </x:c>
      <x:c r="B8" s="8" t="n">
        <x:v>39.282959999999996</x:v>
      </x:c>
      <x:c r="C8" s="8" t="str">
        <x:v>Uref_physical / Uref_lbm</x:v>
      </x:c>
    </x:row>
    <x:row r="9">
      <x:c r="A9" s="7" t="str">
        <x:v>Sampling method</x:v>
      </x:c>
      <x:c r="B9" s="8" t="str">
        <x:v>trilinear_world_xyz</x:v>
      </x:c>
      <x:c r="C9" s="8" t="str">
        <x:v>World xyz mapped by domain_origin.json</x:v>
      </x:c>
    </x:row>
    <x:row r="10">
      <x:c r="A10" s="7" t="str">
        <x:v>Warning</x:v>
      </x:c>
      <x:c r="B10" s="8" t="str">
        <x:v>Current result is a dx=5m 2000-step smoke run. It proves workflow/data extraction, not final validation accuracy.</x:v>
      </x:c>
      <x:c r="C10" s="8" t="str">
        <x:v>Do not use this smoke run as final accuracy proof</x:v>
      </x:c>
    </x:row>
    <x:row r="11">
      <x:c r="A11" s="7" t="str">
        <x:v>VTK source</x:v>
      </x:c>
      <x:c r="B11" s="8" t="str">
        <x:v>F:\Grade2master2\CITYLBM开发文件\citylbm_v0.2.0_portable\validation\parallel_experiments\experiment_2_casee\citylbm\FluidX3D_CityLBM_v010_CaseE\output\u-000002000.vtk</x:v>
      </x:c>
      <x:c r="C11" s="8" t="str">
        <x:v>CityLBM-generated FluidX3D VTK</x:v>
      </x:c>
    </x:row>
    <x:row r="12">
      <x:c r="A12" s="7" t="str">
        <x:v>Domain origin source</x:v>
      </x:c>
      <x:c r="B12" s="8" t="str">
        <x:v>F:\Grade2master2\CITYLBM开发文件\citylbm_v0.2.0_portable\validation\parallel_experiments\experiment_2_casee\citylbm\AIJCASEE_ac_N_v010_dx5_2000\domain_origin.json</x:v>
      </x:c>
      <x:c r="C12" s="8" t="str">
        <x:v>CityLBM domain mapping</x:v>
      </x:c>
    </x:row>
    <x:row r="13">
      <x:c r="A13" s="7" t="str">
        <x:v>RS source</x:v>
      </x:c>
      <x:c r="B13" s="8" t="str">
        <x:v>F:\Grade2master2\CITYLBM开发文件\citylbm_v0.2.0_portable\CityLBM_v0.2.0_Food4Rhino\package\examples\AIJ_CaseE\official_data\RS_caseE.csv</x:v>
      </x:c>
      <x:c r="C13" s="8" t="str">
        <x:v>Official measurement ratios</x:v>
      </x:c>
    </x:row>
    <x:row r="14">
      <x:c r="A14" s="7" t="str">
        <x:v>AF source</x:v>
      </x:c>
      <x:c r="B14" s="8" t="str">
        <x:v>F:\Grade2master2\CITYLBM开发文件\citylbm_v0.2.0_portable\CityLBM_v0.2.0_Food4Rhino\package\examples\AIJ_CaseE\official_data\AF_caseE.csv</x:v>
      </x:c>
      <x:c r="C14" s="8" t="str">
        <x:v>Official inflow profile</x:v>
      </x:c>
    </x:row>
  </x:sheetData>
  <x:pageMargins left="0.7" right="0.7" top="0.75" bottom="0.75" header="0.3" footer="0.3"/>
</x:worksheet>
</file>